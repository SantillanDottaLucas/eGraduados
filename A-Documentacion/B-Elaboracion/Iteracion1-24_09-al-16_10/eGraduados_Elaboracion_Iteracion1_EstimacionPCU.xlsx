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ocuments\eGraduados\A-Documentacion\A-Inicio\Iteracion1-31_8-al-20_9\"/>
    </mc:Choice>
  </mc:AlternateContent>
  <xr:revisionPtr revIDLastSave="0" documentId="13_ncr:1_{641C61A4-A176-4823-BA01-D4A700B492F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tilla" sheetId="1" r:id="rId1"/>
  </sheets>
  <definedNames>
    <definedName name="solver_eng" localSheetId="0">1</definedName>
    <definedName name="solver_neg" localSheetId="0">1</definedName>
    <definedName name="solver_num" localSheetId="0">0</definedName>
    <definedName name="solver_opt" localSheetId="0">Plantilla!$D$65</definedName>
    <definedName name="solver_typ" localSheetId="0">1</definedName>
    <definedName name="solver_val" localSheetId="0">0</definedName>
    <definedName name="solver_ver" localSheetId="0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+s54X7NFLcJJ76RGdM6YaLKO1pFzKsOQgwQ7eQmZd6U="/>
    </ext>
  </extLst>
</workbook>
</file>

<file path=xl/calcChain.xml><?xml version="1.0" encoding="utf-8"?>
<calcChain xmlns="http://schemas.openxmlformats.org/spreadsheetml/2006/main">
  <c r="C74" i="1" l="1"/>
  <c r="C75" i="1" l="1"/>
  <c r="C80" i="1"/>
  <c r="G58" i="1"/>
  <c r="D65" i="1" s="1"/>
  <c r="G55" i="1"/>
  <c r="G54" i="1"/>
  <c r="G53" i="1"/>
  <c r="G52" i="1"/>
  <c r="G51" i="1"/>
  <c r="G50" i="1"/>
  <c r="G49" i="1"/>
  <c r="G48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F22" i="1"/>
  <c r="E22" i="1"/>
  <c r="F21" i="1"/>
  <c r="E21" i="1"/>
  <c r="F20" i="1"/>
  <c r="E20" i="1"/>
  <c r="F19" i="1"/>
  <c r="E19" i="1"/>
  <c r="F18" i="1"/>
  <c r="E18" i="1"/>
  <c r="F17" i="1"/>
  <c r="E17" i="1"/>
  <c r="E12" i="1"/>
  <c r="G12" i="1" s="1"/>
  <c r="E11" i="1"/>
  <c r="G11" i="1" s="1"/>
  <c r="E10" i="1"/>
  <c r="G10" i="1" s="1"/>
  <c r="G56" i="1" l="1"/>
  <c r="G57" i="1" s="1"/>
  <c r="G13" i="1"/>
  <c r="G43" i="1"/>
  <c r="G44" i="1" s="1"/>
  <c r="F23" i="1"/>
  <c r="C81" i="1"/>
  <c r="C65" i="1"/>
  <c r="F26" i="1" l="1"/>
  <c r="G61" i="1" s="1"/>
  <c r="C67" i="1" l="1"/>
  <c r="B67" i="1"/>
  <c r="D67" i="1"/>
  <c r="D68" i="1" l="1"/>
  <c r="F81" i="1" s="1"/>
  <c r="D86" i="1" s="1"/>
  <c r="D89" i="1" s="1"/>
  <c r="F73" i="1"/>
  <c r="B68" i="1"/>
  <c r="D79" i="1" s="1"/>
  <c r="D73" i="1"/>
  <c r="D74" i="1" s="1"/>
  <c r="D75" i="1" s="1"/>
  <c r="C68" i="1"/>
  <c r="E73" i="1"/>
  <c r="F79" i="1" l="1"/>
  <c r="F80" i="1"/>
  <c r="E74" i="1"/>
  <c r="E75" i="1" s="1"/>
  <c r="F74" i="1"/>
  <c r="F75" i="1" s="1"/>
  <c r="E80" i="1"/>
  <c r="E79" i="1"/>
  <c r="E81" i="1"/>
  <c r="C86" i="1" s="1"/>
  <c r="C89" i="1" s="1"/>
  <c r="D80" i="1"/>
  <c r="D81" i="1"/>
  <c r="B86" i="1" s="1"/>
  <c r="B8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Usuario</author>
  </authors>
  <commentList>
    <comment ref="C9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ID#AAAA4EXGEYI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  </r>
      </text>
    </comment>
    <comment ref="C16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ID#AAAA4EXGEY0
Ejemplo    (2023-08-29 20:18:46)
contar transacciones
Flujo.Ppal.: transacciones 1, 2, 3, 4. 
Flujo Alt.: 0 transaccioines. 
Excepciones.: N/A -&gt; 0 transacciones
-&gt; suma = 4 transacciones</t>
        </r>
      </text>
    </comment>
    <comment ref="B30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ID#AAAA4EXGEXg
Autor    (2023-08-29 20:18:46)
¿Arquitectura centralizada o distribuida?</t>
        </r>
      </text>
    </comment>
    <comment ref="B31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ID#AAAA4EXGEYo
Autor    (2023-08-29 20:18:46)
¿Cuál es la importancia del tiempo de respuesta de la aplicación para el usuario final?</t>
        </r>
      </text>
    </comment>
    <comment ref="B32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ID#AAAA4EXGEX4
Autor    (2023-08-29 20:18:46)
¿La aplicacion está diseñada para que el usuario incremente SU eficiencia (no solo cumpla su cometido)?</t>
        </r>
      </text>
    </comment>
    <comment ref="B33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ID#AAAA4EXGEXQ
Autor    (2023-08-29 20:18:46)
¿La aplicación requiere de algoritmos complejos?</t>
        </r>
      </text>
    </comment>
    <comment ref="B34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ID#AAAA4EXGEYQ
Autor    (2023-08-29 20:18:46)
¿La aplicación requiere diseñarse para ser altamente reusable?</t>
        </r>
      </text>
    </comment>
    <comment ref="B35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ID#AAAA4EXGEXU
Autor    (2023-08-29 20:18:46)
¿La aplicación debe ser de fácil instalación (para usuarios sin capacidad técnica) o no?</t>
        </r>
      </text>
    </comment>
    <comment ref="B36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ID#AAAA4EXGEYY
Autor    (2023-08-29 20:18:46)
¿Hay requerimientos especiales respecto de la facilidad de uso?</t>
        </r>
      </text>
    </comment>
    <comment ref="B37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ID#AAAA4EXGEYw
Autor    (2023-08-29 20:18:46)
¿La aplicación, debe funcionar en más de una plataforma?</t>
        </r>
      </text>
    </comment>
    <comment ref="B38" authorId="0" shapeId="0" xr:uid="{00000000-0006-0000-0000-00000B000000}">
      <text>
        <r>
          <rPr>
            <sz val="10"/>
            <color rgb="FF000000"/>
            <rFont val="Arial"/>
            <scheme val="minor"/>
          </rPr>
          <t>======
ID#AAAA4EXGEYg
Autor    (2023-08-29 20:18:46)
¿El cliente requiere que la aplicación se pueda cambiar fácilmente en el futuro?</t>
        </r>
      </text>
    </comment>
    <comment ref="B39" authorId="0" shapeId="0" xr:uid="{00000000-0006-0000-0000-00000C000000}">
      <text>
        <r>
          <rPr>
            <sz val="10"/>
            <color rgb="FF000000"/>
            <rFont val="Arial"/>
            <scheme val="minor"/>
          </rPr>
          <t>======
ID#AAAA4EXGEXc
Autor    (2023-08-29 20:18:46)
¿Hace falta consideraciones especiales para el acceso concurrente (paralelo) a datos y otros recursos?</t>
        </r>
      </text>
    </comment>
    <comment ref="B40" authorId="0" shapeId="0" xr:uid="{00000000-0006-0000-0000-00000D000000}">
      <text>
        <r>
          <rPr>
            <sz val="10"/>
            <color rgb="FF000000"/>
            <rFont val="Arial"/>
            <scheme val="minor"/>
          </rPr>
          <t>======
ID#AAAA4EXGEXs
Autor    (2023-08-29 20:18:46)
¿Es suficiente con las prestaciones de seguridad normales, o hace falta algo especial?</t>
        </r>
      </text>
    </comment>
    <comment ref="B41" authorId="0" shapeId="0" xr:uid="{00000000-0006-0000-0000-00000E000000}">
      <text>
        <r>
          <rPr>
            <sz val="10"/>
            <color rgb="FF000000"/>
            <rFont val="Arial"/>
            <scheme val="minor"/>
          </rPr>
          <t>======
ID#AAAA4EXGEXk
Autor    (2023-08-29 20:18:46)
¿Nuestro código usará componentes COTS, librerías frameworks ya desarrollados? Si así fuera, reducirá la carga de trabajo de desarrollo.</t>
        </r>
      </text>
    </comment>
    <comment ref="B42" authorId="0" shapeId="0" xr:uid="{00000000-0006-0000-0000-00000F000000}">
      <text>
        <r>
          <rPr>
            <sz val="10"/>
            <color rgb="FF000000"/>
            <rFont val="Arial"/>
            <scheme val="minor"/>
          </rPr>
          <t>======
ID#AAAA4EXGEYs
Autor    (2023-08-29 20:18:46)
¿Se requiere formación específica para los Usuarios?</t>
        </r>
      </text>
    </comment>
    <comment ref="B48" authorId="0" shapeId="0" xr:uid="{00000000-0006-0000-0000-000010000000}">
      <text>
        <r>
          <rPr>
            <sz val="10"/>
            <color rgb="FF000000"/>
            <rFont val="Arial"/>
            <scheme val="minor"/>
          </rPr>
          <t>======
ID#AAAA4EXGEYU
Autor    (2023-08-29 20:18:46)
Debe reflejar el hecho de que el equipo conoce el proceso y el lenguaje de modelado (p.ej.: RUP, UML). Puede ser cualquier otro proceso.</t>
        </r>
      </text>
    </comment>
    <comment ref="B49" authorId="0" shapeId="0" xr:uid="{00000000-0006-0000-0000-000011000000}">
      <text>
        <r>
          <rPr>
            <sz val="10"/>
            <color rgb="FF000000"/>
            <rFont val="Arial"/>
            <scheme val="minor"/>
          </rPr>
          <t>======
ID#AAAA4EXGEX8
Autor    (2023-08-29 20:18:46)
¿Ya trabajado el equipo en el area (dominio) de la aplicación?</t>
        </r>
      </text>
    </comment>
    <comment ref="B50" authorId="0" shapeId="0" xr:uid="{00000000-0006-0000-0000-000012000000}">
      <text>
        <r>
          <rPr>
            <sz val="10"/>
            <color rgb="FF000000"/>
            <rFont val="Arial"/>
            <scheme val="minor"/>
          </rPr>
          <t>======
ID#AAAA4EXGEXw
Autor    (2023-08-29 20:18:46)
Se refiere exclusivamente a la experiencia en el análisis, modelado, diseño y progrmación  mediante el paradigma de OO.</t>
        </r>
      </text>
    </comment>
    <comment ref="B51" authorId="0" shapeId="0" xr:uid="{00000000-0006-0000-0000-000013000000}">
      <text>
        <r>
          <rPr>
            <sz val="10"/>
            <color rgb="FF000000"/>
            <rFont val="Arial"/>
            <scheme val="minor"/>
          </rPr>
          <t>======
ID#AAAA4EXGEXY
Autor    (2023-08-29 20:18:46)
Se refiere a la experiencia en el análisis de requerimientos y modelado orientado a objetos del Analista Principal.</t>
        </r>
      </text>
    </comment>
    <comment ref="B52" authorId="0" shapeId="0" xr:uid="{00000000-0006-0000-0000-000014000000}">
      <text>
        <r>
          <rPr>
            <sz val="10"/>
            <color rgb="FF000000"/>
            <rFont val="Arial"/>
            <scheme val="minor"/>
          </rPr>
          <t>======
ID#AAAA4EXGEXo
Autor    (2023-08-29 20:18:46)
Motivación del equipo.</t>
        </r>
      </text>
    </comment>
    <comment ref="B53" authorId="0" shapeId="0" xr:uid="{00000000-0006-0000-0000-000015000000}">
      <text>
        <r>
          <rPr>
            <sz val="10"/>
            <color rgb="FF000000"/>
            <rFont val="Arial"/>
            <scheme val="minor"/>
          </rPr>
          <t>======
ID#AAAA4EXGEY4
Autor    (2023-08-29 20:18:46)
Evalúa si los analistas han sido capaces de mantener estables los requerimientos en el pasado, minimizando los cambios del software.</t>
        </r>
      </text>
    </comment>
    <comment ref="B54" authorId="0" shapeId="0" xr:uid="{00000000-0006-0000-0000-000016000000}">
      <text>
        <r>
          <rPr>
            <sz val="10"/>
            <color rgb="FF000000"/>
            <rFont val="Arial"/>
            <scheme val="minor"/>
          </rPr>
          <t>======
ID#AAAA4EXGEYM
Autor    (2023-08-29 20:18:46)
Este es un factor con signo opuesto a los factores E6 y anteriores. Cuanto mayor la evaluación, peor el resultado.</t>
        </r>
      </text>
    </comment>
    <comment ref="B55" authorId="0" shapeId="0" xr:uid="{00000000-0006-0000-0000-000017000000}">
      <text>
        <r>
          <rPr>
            <sz val="10"/>
            <color rgb="FF000000"/>
            <rFont val="Arial"/>
            <scheme val="minor"/>
          </rPr>
          <t>======
ID#AAAA4EXGEYc
Autor    (2023-08-29 20:18:46)
Este es un factor con signo opuesto a los factores E6 y anteriores. Cuanto mayor la evaluación, peor el resultado.</t>
        </r>
      </text>
    </comment>
    <comment ref="G65" authorId="0" shapeId="0" xr:uid="{00000000-0006-0000-0000-000018000000}">
      <text>
        <r>
          <rPr>
            <sz val="10"/>
            <color rgb="FF000000"/>
            <rFont val="Arial"/>
            <scheme val="minor"/>
          </rPr>
          <t>======
ID#AAAA4EXGEYA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  </r>
      </text>
    </comment>
    <comment ref="B68" authorId="1" shapeId="0" xr:uid="{00000000-0006-0000-0000-000019000000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C68" authorId="1" shapeId="0" xr:uid="{00000000-0006-0000-0000-00001A000000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Para el caso clásico se contempla una dedicación promedio por integrante de 8hs diarias</t>
        </r>
      </text>
    </comment>
    <comment ref="G68" authorId="1" shapeId="0" xr:uid="{00000000-0006-0000-0000-00001B000000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Indicar la dedicación promedio diaria por integrante REAL del equipo</t>
        </r>
      </text>
    </comment>
    <comment ref="B71" authorId="0" shapeId="0" xr:uid="{00000000-0006-0000-0000-00001C000000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74" authorId="0" shapeId="0" xr:uid="{00000000-0006-0000-0000-00001D000000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77" authorId="0" shapeId="0" xr:uid="{00000000-0006-0000-0000-00001E000000}">
      <text>
        <r>
          <rPr>
            <sz val="10"/>
            <color rgb="FF000000"/>
            <rFont val="Arial"/>
            <scheme val="minor"/>
          </rPr>
          <t>======
ID#AAAA4EXGEYE
Autor    (2023-08-29 20:18:46)
Esta distribución es una referencia. Proyecto a proyecto debe actualizarse mediante  ESTADISTICAS.</t>
        </r>
      </text>
    </comment>
    <comment ref="B80" authorId="0" shapeId="0" xr:uid="{00000000-0006-0000-0000-00001F000000}">
      <text>
        <r>
          <rPr>
            <sz val="10"/>
            <color rgb="FF000000"/>
            <rFont val="Arial"/>
            <scheme val="minor"/>
          </rPr>
          <t>======
ID#AAAA4EXGEYk
Autor    (2023-08-29 20:18:46)
Análisis/Diseño/Pruebas/Sobrecarga</t>
        </r>
      </text>
    </comment>
    <comment ref="B83" authorId="0" shapeId="0" xr:uid="{00000000-0006-0000-0000-000020000000}">
      <text>
        <r>
          <rPr>
            <sz val="10"/>
            <color rgb="FF000000"/>
            <rFont val="Arial"/>
            <scheme val="minor"/>
          </rPr>
          <t>======
ID#AAAA4EXGEX0
Autor    (2023-08-29 20:18:46)
Lo debe sugerir el estimador.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ZRtrpRPhskmwylDfdNk2hbXE5dg=="/>
    </ext>
  </extLst>
</comments>
</file>

<file path=xl/sharedStrings.xml><?xml version="1.0" encoding="utf-8"?>
<sst xmlns="http://schemas.openxmlformats.org/spreadsheetml/2006/main" count="168" uniqueCount="121">
  <si>
    <t>ESTIMACIÓN por PUNTOS de CASO de USO</t>
  </si>
  <si>
    <t>Proyecto:</t>
  </si>
  <si>
    <t>Gestor de Proyecto: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</si>
  <si>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</si>
  <si>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</si>
  <si>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</si>
  <si>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</si>
  <si>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</si>
  <si>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</si>
  <si>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</si>
  <si>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Complejo</t>
  </si>
  <si>
    <t>Intermedio</t>
  </si>
  <si>
    <t>Simple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</si>
  <si>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</si>
  <si>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</si>
  <si>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</si>
  <si>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</si>
  <si>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</si>
  <si>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</si>
  <si>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CU1:  Validar PIN</t>
  </si>
  <si>
    <t>1-2, 2a</t>
  </si>
  <si>
    <t>CU2: Seleccionar Servicio</t>
  </si>
  <si>
    <t>1, 1a, 1b, 1c</t>
  </si>
  <si>
    <t>CU3</t>
  </si>
  <si>
    <t>CU4</t>
  </si>
  <si>
    <t>CU5</t>
  </si>
  <si>
    <t>CU6</t>
  </si>
  <si>
    <t xml:space="preserve">Peso Total CU, sin ajustar (UUCW) </t>
  </si>
  <si>
    <t>3. PCU SIN AJUSTE</t>
  </si>
  <si>
    <r>
      <rPr>
        <b/>
        <sz val="12"/>
        <color theme="1"/>
        <rFont val="Calibri"/>
        <family val="2"/>
      </rPr>
      <t xml:space="preserve">Puntos de CU No Ajustados: </t>
    </r>
    <r>
      <rPr>
        <b/>
        <sz val="12"/>
        <color rgb="FFFF0000"/>
        <rFont val="Calibri"/>
        <family val="2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</si>
  <si>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</si>
  <si>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</si>
  <si>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</si>
  <si>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</si>
  <si>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</si>
  <si>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</si>
  <si>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Ver 4.2 Use Case Point Analysis e11</t>
  </si>
  <si>
    <t>T1  Sistema Distribuido</t>
  </si>
  <si>
    <t>0=no importante  5=esencial</t>
  </si>
  <si>
    <t>¡Describir!</t>
  </si>
  <si>
    <t>Object-Oriented Analysis and Design for Information Systems: Modeling with UML, OCL, and IFML</t>
  </si>
  <si>
    <t>T2  Objetivos de Desempeño o Tiempo de Respuesta</t>
  </si>
  <si>
    <t>T3  Eficiencia Usuario Final</t>
  </si>
  <si>
    <t>T4  Procesamiento Interno Complejo</t>
  </si>
  <si>
    <t>T5  Código Debe Ser Reusable</t>
  </si>
  <si>
    <t>T6  Facilidad de Instalación</t>
  </si>
  <si>
    <t>T7  Facilidad de Uso</t>
  </si>
  <si>
    <t>T8  Portabilidad</t>
  </si>
  <si>
    <t>T9  Facilidad de Cambio</t>
  </si>
  <si>
    <t>T10 Concurrencia</t>
  </si>
  <si>
    <t>T11 Incluye Características Especiales de Seguridad</t>
  </si>
  <si>
    <t>T12 Acceso Directo a Código de Terceros</t>
  </si>
  <si>
    <t>T13 Necesidades de formación para los Usuarios</t>
  </si>
  <si>
    <r>
      <rPr>
        <b/>
        <sz val="12"/>
        <color theme="1"/>
        <rFont val="Calibri"/>
        <family val="2"/>
      </rPr>
      <t xml:space="preserve">Factores Técnicos: TF = </t>
    </r>
    <r>
      <rPr>
        <b/>
        <sz val="12"/>
        <color theme="1"/>
        <rFont val="Calibri"/>
        <family val="2"/>
      </rPr>
      <t xml:space="preserve">∑ </t>
    </r>
    <r>
      <rPr>
        <b/>
        <sz val="12"/>
        <color theme="1"/>
        <rFont val="Calibri"/>
        <family val="2"/>
      </rPr>
      <t xml:space="preserve">(Peso * Evaluacion ) </t>
    </r>
  </si>
  <si>
    <r>
      <rPr>
        <b/>
        <sz val="12"/>
        <color theme="1"/>
        <rFont val="Calibri"/>
        <family val="2"/>
      </rPr>
      <t xml:space="preserve">Factor de Complejidad Técnica:  </t>
    </r>
    <r>
      <rPr>
        <b/>
        <sz val="12"/>
        <color rgb="FFFF0000"/>
        <rFont val="Calibri"/>
        <family val="2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</si>
  <si>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</si>
  <si>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</si>
  <si>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</si>
  <si>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</si>
  <si>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Ver 4.2 Use Case Point Analysis e17</t>
  </si>
  <si>
    <t>E1 Familiaridad con un Proceso Definido</t>
  </si>
  <si>
    <t>0 = sin experiencia, 3=media, 5=experto</t>
  </si>
  <si>
    <t>E2 Experiencia en el Dominio de Aplicación</t>
  </si>
  <si>
    <t>E3 Experiencia en Orientación a Objetos</t>
  </si>
  <si>
    <t>E4 Capacidad de Liderazgo del  Analista Principal</t>
  </si>
  <si>
    <t>E5 Motivación</t>
  </si>
  <si>
    <t>0=sin, 3=media, 5=alta</t>
  </si>
  <si>
    <t>E6 Requerimientos Estables</t>
  </si>
  <si>
    <t>0=extremadamente inestable, 5=no cambian</t>
  </si>
  <si>
    <t>E7 Miembros a Tiempo Parcial</t>
  </si>
  <si>
    <t>0=0% tiempo parcial, 1=h/10% t. parcial, 2=h/20% t. parcial, 3=h/40% t. parcial, 4=h/60% t. parcial, 5= más de 60% t.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</si>
  <si>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</si>
  <si>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</si>
  <si>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 xml:space="preserve">Factores Ambientales: EF = ∑ (Peso * Evaluacion ) </t>
  </si>
  <si>
    <r>
      <rPr>
        <b/>
        <sz val="12"/>
        <color theme="1"/>
        <rFont val="Calibri"/>
        <family val="2"/>
      </rPr>
      <t xml:space="preserve">Factor de Complejidad Ambiental: </t>
    </r>
    <r>
      <rPr>
        <b/>
        <sz val="12"/>
        <color rgb="FFFF0000"/>
        <rFont val="Calibri"/>
        <family val="2"/>
      </rPr>
      <t>ECF = 1.4 + (-0.03*EF)</t>
    </r>
  </si>
  <si>
    <t>FPA desfavorables</t>
  </si>
  <si>
    <t>6. PCU AJUSTADOS</t>
  </si>
  <si>
    <r>
      <rPr>
        <b/>
        <sz val="12"/>
        <color theme="1"/>
        <rFont val="Calibri"/>
        <family val="2"/>
      </rPr>
      <t xml:space="preserve">Puntos de Casos de Uso Ajustados: AUCP = </t>
    </r>
    <r>
      <rPr>
        <b/>
        <sz val="12"/>
        <color rgb="FFFF0000"/>
        <rFont val="Calibri"/>
        <family val="2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</si>
  <si>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</si>
  <si>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</si>
  <si>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</si>
  <si>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</si>
  <si>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</si>
  <si>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</si>
  <si>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</si>
  <si>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</si>
  <si>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</si>
  <si>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</si>
  <si>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</si>
  <si>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</si>
  <si>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</si>
  <si>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</si>
  <si>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</si>
  <si>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</si>
  <si>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</si>
  <si>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</si>
  <si>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</si>
  <si>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</si>
  <si>
    <t>Dedicación Diaria (hs)</t>
  </si>
  <si>
    <t>Distribución Esfuerzo por Tarea (expresado en m-h)</t>
  </si>
  <si>
    <t>8a. ESFUERZO TOTAL</t>
  </si>
  <si>
    <t>8b. ESFUERZO TOTAL</t>
  </si>
  <si>
    <t>Distribución Esfuerzo por Tarea (expresado en h-h)</t>
  </si>
  <si>
    <t>Karner
(h-h)</t>
  </si>
  <si>
    <t>Sch&amp;Win
(h-h)</t>
  </si>
  <si>
    <t>Propia
(h-h)</t>
  </si>
  <si>
    <t>FECHA FINALIZACIÓN</t>
  </si>
  <si>
    <t>11. FECHA ESTIMACIÓN</t>
  </si>
  <si>
    <t>Iteración</t>
  </si>
  <si>
    <t>Fecha de estimación</t>
  </si>
  <si>
    <t>eGradudos</t>
  </si>
  <si>
    <t>SantillánDotta Lucas Tiziano</t>
  </si>
  <si>
    <t>Inicio - Iteración 1</t>
  </si>
  <si>
    <t>BBDD</t>
  </si>
  <si>
    <t>Usuario</t>
  </si>
  <si>
    <t>Usuario principal (Departamento de Títulos y Secretaría Académica)</t>
  </si>
  <si>
    <t>BBDD en la que se almacena los datos</t>
  </si>
  <si>
    <t>Framework UARGFlow para login de usuarios</t>
  </si>
  <si>
    <t>UARGFlow</t>
  </si>
  <si>
    <t>teamo</t>
  </si>
  <si>
    <t>yomasmiamor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</si>
</sst>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0"/>
      <color rgb="FF000000"/>
      <name val="Arial"/>
      <scheme val="minor"/>
    </font>
    <font>
      <sz val="12"/>
      <color theme="1"/>
      <name val="Calibri"/>
      <family val="2"/>
    </font>
    <font>
      <b/>
      <sz val="16"/>
      <color theme="1"/>
      <name val="Calibri"/>
      <family val="2"/>
    </font>
    <font>
      <sz val="10"/>
      <name val="Arial"/>
      <family val="2"/>
    </font>
    <font>
      <b/>
      <sz val="12"/>
      <color theme="1"/>
      <name val="Calibri"/>
      <family val="2"/>
    </font>
    <font>
      <sz val="12"/>
      <color rgb="FF3F3F76"/>
      <name val="Calibri"/>
      <family val="2"/>
    </font>
    <font>
      <b/>
      <sz val="12"/>
      <color rgb="FFFA7D00"/>
      <name val="Calibri"/>
      <family val="2"/>
    </font>
    <font>
      <b/>
      <sz val="12"/>
      <color rgb="FF3F3F3F"/>
      <name val="Calibri"/>
      <family val="2"/>
    </font>
    <font>
      <u/>
      <sz val="10"/>
      <color theme="10"/>
      <name val="Arial"/>
      <family val="2"/>
    </font>
    <font>
      <b/>
      <sz val="11"/>
      <color rgb="FFFA7D00"/>
      <name val="Calibri"/>
      <family val="2"/>
    </font>
    <font>
      <b/>
      <sz val="12"/>
      <color rgb="FF002060"/>
      <name val="Calibri"/>
      <family val="2"/>
    </font>
    <font>
      <b/>
      <sz val="12"/>
      <color rgb="FFFF0000"/>
      <name val="Calibri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0" tint="-0.14999847407452621"/>
        <b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rgb="FFD8D8D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rgb="FFFFCC9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4.9989318521683403E-2"/>
        <bgColor rgb="FFFFCC99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2" borderId="9" xfId="0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/>
    </xf>
    <xf numFmtId="49" fontId="5" fillId="3" borderId="9" xfId="0" applyNumberFormat="1" applyFont="1" applyFill="1" applyBorder="1" applyAlignment="1">
      <alignment vertical="center"/>
    </xf>
    <xf numFmtId="0" fontId="5" fillId="3" borderId="9" xfId="0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49" fontId="4" fillId="0" borderId="1" xfId="0" applyNumberFormat="1" applyFont="1" applyBorder="1" applyAlignment="1">
      <alignment horizontal="right" vertical="center" wrapText="1"/>
    </xf>
    <xf numFmtId="0" fontId="7" fillId="4" borderId="9" xfId="0" applyFont="1" applyFill="1" applyBorder="1" applyAlignment="1">
      <alignment horizontal="center" vertical="center" wrapText="1"/>
    </xf>
    <xf numFmtId="49" fontId="4" fillId="0" borderId="0" xfId="0" applyNumberFormat="1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49" fontId="4" fillId="0" borderId="0" xfId="0" applyNumberFormat="1" applyFont="1" applyAlignment="1">
      <alignment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vertical="center"/>
    </xf>
    <xf numFmtId="0" fontId="5" fillId="3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vertical="center" wrapText="1"/>
    </xf>
    <xf numFmtId="49" fontId="1" fillId="0" borderId="9" xfId="0" applyNumberFormat="1" applyFont="1" applyBorder="1" applyAlignment="1">
      <alignment vertical="center" wrapText="1"/>
    </xf>
    <xf numFmtId="49" fontId="5" fillId="3" borderId="9" xfId="0" applyNumberFormat="1" applyFont="1" applyFill="1" applyBorder="1" applyAlignment="1">
      <alignment horizontal="left" vertical="center"/>
    </xf>
    <xf numFmtId="49" fontId="1" fillId="4" borderId="9" xfId="0" applyNumberFormat="1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top" wrapText="1"/>
    </xf>
    <xf numFmtId="0" fontId="9" fillId="4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  <xf numFmtId="0" fontId="1" fillId="0" borderId="2" xfId="0" applyFont="1" applyBorder="1" applyAlignment="1">
      <alignment horizontal="right" vertical="center" wrapText="1"/>
    </xf>
    <xf numFmtId="49" fontId="1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right" vertical="center"/>
    </xf>
    <xf numFmtId="164" fontId="4" fillId="2" borderId="9" xfId="0" applyNumberFormat="1" applyFont="1" applyFill="1" applyBorder="1" applyAlignment="1">
      <alignment horizontal="center" vertical="center" wrapText="1"/>
    </xf>
    <xf numFmtId="0" fontId="10" fillId="5" borderId="13" xfId="0" applyFont="1" applyFill="1" applyBorder="1" applyAlignment="1">
      <alignment vertical="center" wrapText="1"/>
    </xf>
    <xf numFmtId="164" fontId="1" fillId="2" borderId="9" xfId="0" applyNumberFormat="1" applyFont="1" applyFill="1" applyBorder="1" applyAlignment="1">
      <alignment horizontal="center" vertical="center"/>
    </xf>
    <xf numFmtId="164" fontId="5" fillId="3" borderId="9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164" fontId="4" fillId="2" borderId="9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164" fontId="1" fillId="0" borderId="9" xfId="0" applyNumberFormat="1" applyFont="1" applyBorder="1" applyAlignment="1">
      <alignment horizontal="center" vertical="center" wrapText="1"/>
    </xf>
    <xf numFmtId="2" fontId="1" fillId="0" borderId="0" xfId="0" applyNumberFormat="1" applyFont="1" applyAlignment="1">
      <alignment horizontal="right" vertical="center" wrapText="1"/>
    </xf>
    <xf numFmtId="2" fontId="4" fillId="0" borderId="0" xfId="0" applyNumberFormat="1" applyFont="1" applyAlignment="1">
      <alignment vertical="center" wrapText="1"/>
    </xf>
    <xf numFmtId="14" fontId="5" fillId="3" borderId="9" xfId="0" applyNumberFormat="1" applyFont="1" applyFill="1" applyBorder="1" applyAlignment="1">
      <alignment horizontal="center" vertical="center" wrapText="1"/>
    </xf>
    <xf numFmtId="14" fontId="5" fillId="6" borderId="9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left" vertical="center"/>
    </xf>
    <xf numFmtId="0" fontId="4" fillId="0" borderId="13" xfId="0" applyFont="1" applyBorder="1" applyAlignment="1">
      <alignment horizontal="center" vertical="center"/>
    </xf>
    <xf numFmtId="0" fontId="4" fillId="7" borderId="14" xfId="0" applyFont="1" applyFill="1" applyBorder="1" applyAlignment="1">
      <alignment horizontal="left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7" borderId="17" xfId="0" applyFont="1" applyFill="1" applyBorder="1" applyAlignment="1">
      <alignment horizontal="left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2" fontId="1" fillId="8" borderId="9" xfId="0" applyNumberFormat="1" applyFont="1" applyFill="1" applyBorder="1" applyAlignment="1">
      <alignment horizontal="center" vertical="center"/>
    </xf>
    <xf numFmtId="164" fontId="1" fillId="8" borderId="9" xfId="0" applyNumberFormat="1" applyFont="1" applyFill="1" applyBorder="1" applyAlignment="1">
      <alignment horizontal="center" vertical="center"/>
    </xf>
    <xf numFmtId="165" fontId="4" fillId="8" borderId="9" xfId="0" applyNumberFormat="1" applyFont="1" applyFill="1" applyBorder="1" applyAlignment="1">
      <alignment horizontal="center" vertical="center"/>
    </xf>
    <xf numFmtId="164" fontId="4" fillId="8" borderId="9" xfId="0" applyNumberFormat="1" applyFont="1" applyFill="1" applyBorder="1" applyAlignment="1">
      <alignment horizontal="center" vertical="center" wrapText="1"/>
    </xf>
    <xf numFmtId="164" fontId="4" fillId="8" borderId="9" xfId="0" applyNumberFormat="1" applyFont="1" applyFill="1" applyBorder="1" applyAlignment="1">
      <alignment horizontal="center" vertical="center"/>
    </xf>
    <xf numFmtId="49" fontId="4" fillId="8" borderId="9" xfId="0" applyNumberFormat="1" applyFont="1" applyFill="1" applyBorder="1" applyAlignment="1">
      <alignment horizontal="center" vertical="center" wrapText="1"/>
    </xf>
    <xf numFmtId="164" fontId="1" fillId="9" borderId="9" xfId="0" applyNumberFormat="1" applyFont="1" applyFill="1" applyBorder="1" applyAlignment="1">
      <alignment horizontal="center" vertical="center" wrapText="1"/>
    </xf>
    <xf numFmtId="14" fontId="5" fillId="10" borderId="9" xfId="0" applyNumberFormat="1" applyFont="1" applyFill="1" applyBorder="1" applyAlignment="1">
      <alignment horizontal="center" vertical="center" wrapText="1"/>
    </xf>
    <xf numFmtId="0" fontId="4" fillId="11" borderId="0" xfId="0" applyFont="1" applyFill="1" applyAlignment="1">
      <alignment vertical="center"/>
    </xf>
    <xf numFmtId="0" fontId="4" fillId="11" borderId="13" xfId="0" applyFont="1" applyFill="1" applyBorder="1" applyAlignment="1">
      <alignment vertical="center"/>
    </xf>
    <xf numFmtId="0" fontId="4" fillId="11" borderId="15" xfId="0" applyFont="1" applyFill="1" applyBorder="1" applyAlignment="1">
      <alignment vertical="center"/>
    </xf>
    <xf numFmtId="9" fontId="14" fillId="12" borderId="9" xfId="0" applyNumberFormat="1" applyFont="1" applyFill="1" applyBorder="1" applyAlignment="1">
      <alignment horizontal="center" vertical="center" wrapText="1"/>
    </xf>
    <xf numFmtId="14" fontId="4" fillId="11" borderId="18" xfId="0" applyNumberFormat="1" applyFont="1" applyFill="1" applyBorder="1" applyAlignment="1">
      <alignment vertical="center"/>
    </xf>
    <xf numFmtId="49" fontId="4" fillId="0" borderId="1" xfId="0" applyNumberFormat="1" applyFont="1" applyBorder="1" applyAlignment="1">
      <alignment horizontal="right" vertical="center" wrapText="1"/>
    </xf>
    <xf numFmtId="0" fontId="3" fillId="0" borderId="2" xfId="0" applyFont="1" applyBorder="1"/>
    <xf numFmtId="0" fontId="3" fillId="0" borderId="3" xfId="0" applyFont="1" applyBorder="1"/>
    <xf numFmtId="0" fontId="4" fillId="0" borderId="1" xfId="0" applyFont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right" vertical="center" wrapText="1"/>
    </xf>
    <xf numFmtId="0" fontId="3" fillId="0" borderId="7" xfId="0" applyFont="1" applyBorder="1"/>
    <xf numFmtId="0" fontId="3" fillId="0" borderId="8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7"/>
  <sheetViews>
    <sheetView tabSelected="1" topLeftCell="A8" zoomScale="70" zoomScaleNormal="70" workbookViewId="0">
      <selection activeCell="B19" sqref="B19"/>
    </sheetView>
  </sheetViews>
  <sheetFormatPr baseColWidth="10" defaultColWidth="12.5703125" defaultRowHeight="15" customHeight="1" x14ac:dyDescent="0.2"/>
  <cols>
    <col min="1" max="1" width="27.7109375" customWidth="1"/>
    <col min="2" max="2" width="32.140625" customWidth="1"/>
    <col min="3" max="3" width="35.42578125" customWidth="1"/>
    <col min="4" max="4" width="38.5703125" customWidth="1"/>
    <col min="5" max="5" width="13.5703125" customWidth="1"/>
    <col min="6" max="6" width="16.140625" customWidth="1"/>
    <col min="7" max="7" width="16.7109375" customWidth="1"/>
    <col min="8" max="8" width="34.42578125" customWidth="1"/>
    <col min="9" max="9" width="10.5703125" customWidth="1"/>
    <col min="10" max="10" width="13.7109375" customWidth="1"/>
    <col min="11" max="26" width="9.140625" customWidth="1"/>
  </cols>
  <sheetData>
    <row r="1" spans="1:26" ht="27.75" customHeight="1" x14ac:dyDescent="0.2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7.75" customHeight="1" x14ac:dyDescent="0.2">
      <c r="A2" s="4"/>
      <c r="B2" s="87" t="s">
        <v>0</v>
      </c>
      <c r="C2" s="83"/>
      <c r="D2" s="83"/>
      <c r="E2" s="83"/>
      <c r="F2" s="83"/>
      <c r="G2" s="84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7.75" customHeight="1" x14ac:dyDescent="0.2">
      <c r="A3" s="4"/>
      <c r="B3" s="61" t="s">
        <v>1</v>
      </c>
      <c r="C3" s="77" t="s">
        <v>110</v>
      </c>
      <c r="D3" s="6"/>
      <c r="E3" s="6"/>
      <c r="F3" s="6"/>
      <c r="G3" s="7"/>
      <c r="H3" s="6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4"/>
      <c r="B4" s="61" t="s">
        <v>2</v>
      </c>
      <c r="C4" s="78" t="s">
        <v>111</v>
      </c>
      <c r="D4" s="62"/>
      <c r="E4" s="62"/>
      <c r="F4" s="62"/>
      <c r="G4" s="7"/>
      <c r="H4" s="6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7.75" customHeight="1" x14ac:dyDescent="0.2">
      <c r="A5" s="4"/>
      <c r="B5" s="63" t="s">
        <v>108</v>
      </c>
      <c r="C5" s="79" t="s">
        <v>112</v>
      </c>
      <c r="D5" s="64"/>
      <c r="E5" s="64"/>
      <c r="F5" s="64"/>
      <c r="G5" s="65"/>
      <c r="H5" s="6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7.75" customHeight="1" x14ac:dyDescent="0.2">
      <c r="A6" s="4"/>
      <c r="B6" s="66" t="s">
        <v>109</v>
      </c>
      <c r="C6" s="81">
        <v>46281</v>
      </c>
      <c r="D6" s="67"/>
      <c r="E6" s="67"/>
      <c r="F6" s="67"/>
      <c r="G6" s="68"/>
      <c r="H6" s="6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7.75" customHeight="1" x14ac:dyDescent="0.2">
      <c r="A7" s="1"/>
      <c r="B7" s="8"/>
      <c r="C7" s="1"/>
      <c r="D7" s="9"/>
      <c r="E7" s="9"/>
      <c r="F7" s="9"/>
      <c r="G7" s="9"/>
      <c r="H7" s="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7.75" customHeight="1" x14ac:dyDescent="0.2">
      <c r="A8" s="1"/>
      <c r="B8" s="1"/>
      <c r="C8" s="1"/>
      <c r="D8" s="2"/>
      <c r="E8" s="3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0" t="s">
        <v>3</v>
      </c>
      <c r="B9" s="11" t="s">
        <v>4</v>
      </c>
      <c r="C9" s="12" t="s">
        <v>5</v>
      </c>
      <c r="D9" s="12" t="s">
        <v>6</v>
      </c>
      <c r="E9" s="11" t="s">
        <v>7</v>
      </c>
      <c r="F9" s="11" t="s">
        <v>8</v>
      </c>
      <c r="G9" s="11" t="s">
        <v>9</v>
      </c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27.75" customHeight="1" x14ac:dyDescent="0.2">
      <c r="A10" s="1"/>
      <c r="B10" s="13" t="s">
        <v>114</v>
      </c>
      <c r="C10" s="14" t="s">
        <v>10</v>
      </c>
      <c r="D10" s="15" t="s">
        <v>115</v>
      </c>
      <c r="E10" s="16">
        <f t="shared" ref="E10:E12" si="0">IF(C10="Simple",1,IF(C10="Intermedio",2,IF(C10="Complejo",3,"error")))</f>
        <v>3</v>
      </c>
      <c r="F10" s="17">
        <v>1</v>
      </c>
      <c r="G10" s="16">
        <f t="shared" ref="G10:G12" si="1">E10*F10</f>
        <v>3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7.75" customHeight="1" x14ac:dyDescent="0.2">
      <c r="A11" s="1"/>
      <c r="B11" s="13" t="s">
        <v>113</v>
      </c>
      <c r="C11" s="14" t="s">
        <v>11</v>
      </c>
      <c r="D11" s="15" t="s">
        <v>116</v>
      </c>
      <c r="E11" s="16">
        <f t="shared" si="0"/>
        <v>2</v>
      </c>
      <c r="F11" s="17">
        <v>1</v>
      </c>
      <c r="G11" s="16">
        <f t="shared" si="1"/>
        <v>2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7.75" customHeight="1" x14ac:dyDescent="0.2">
      <c r="A12" s="1"/>
      <c r="B12" s="13" t="s">
        <v>118</v>
      </c>
      <c r="C12" s="14" t="s">
        <v>12</v>
      </c>
      <c r="D12" s="15" t="s">
        <v>117</v>
      </c>
      <c r="E12" s="16">
        <f t="shared" si="0"/>
        <v>1</v>
      </c>
      <c r="F12" s="17">
        <v>1</v>
      </c>
      <c r="G12" s="16">
        <f t="shared" si="1"/>
        <v>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7.75" customHeight="1" x14ac:dyDescent="0.2">
      <c r="A13" s="1"/>
      <c r="B13" s="18"/>
      <c r="C13" s="82" t="s">
        <v>13</v>
      </c>
      <c r="D13" s="83"/>
      <c r="E13" s="83"/>
      <c r="F13" s="84"/>
      <c r="G13" s="20">
        <f>SUM(G10:G12)</f>
        <v>6</v>
      </c>
      <c r="H13" s="10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7.75" customHeight="1" x14ac:dyDescent="0.2">
      <c r="A14" s="1"/>
      <c r="B14" s="10"/>
      <c r="C14" s="21"/>
      <c r="D14" s="3"/>
      <c r="E14" s="3"/>
      <c r="F14" s="3"/>
      <c r="G14" s="22"/>
      <c r="H14" s="10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.75" customHeight="1" x14ac:dyDescent="0.2">
      <c r="A15" s="1"/>
      <c r="B15" s="10" t="s">
        <v>119</v>
      </c>
      <c r="C15" s="23" t="s">
        <v>120</v>
      </c>
      <c r="D15" s="23"/>
      <c r="E15" s="24"/>
      <c r="F15" s="10"/>
      <c r="G15" s="10"/>
      <c r="H15" s="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7.75" customHeight="1" x14ac:dyDescent="0.2">
      <c r="A16" s="10" t="s">
        <v>14</v>
      </c>
      <c r="B16" s="11" t="s">
        <v>15</v>
      </c>
      <c r="C16" s="11" t="s">
        <v>16</v>
      </c>
      <c r="D16" s="12" t="s">
        <v>17</v>
      </c>
      <c r="E16" s="12" t="s">
        <v>18</v>
      </c>
      <c r="F16" s="11" t="s">
        <v>7</v>
      </c>
      <c r="G16" s="9"/>
      <c r="H16" s="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25"/>
      <c r="U16" s="1"/>
      <c r="V16" s="1"/>
      <c r="W16" s="1"/>
      <c r="X16" s="1"/>
      <c r="Y16" s="1"/>
      <c r="Z16" s="1"/>
    </row>
    <row r="17" spans="1:26" ht="27.75" customHeight="1" x14ac:dyDescent="0.2">
      <c r="A17" s="1"/>
      <c r="B17" s="13" t="s">
        <v>19</v>
      </c>
      <c r="C17" s="13" t="s">
        <v>20</v>
      </c>
      <c r="D17" s="26">
        <v>2</v>
      </c>
      <c r="E17" s="16" t="str">
        <f t="shared" ref="E17:E22" si="2">IF($D17&gt;0,IF($D17&lt;=3,"Simple",IF(AND($D17&gt;3,$D17&lt;7),"Intermedio",IF($D17&gt;=7,"Complejo","error"))),"-")</f>
        <v>Simple</v>
      </c>
      <c r="F17" s="16">
        <f t="shared" ref="F17:F22" si="3">IF($D17&gt;0,IF($D17&lt;=3,5,IF(AND($D17&gt;3,$D17&lt;7),10,IF($D17&gt;=7,15,"error"))),0)</f>
        <v>5</v>
      </c>
      <c r="G17" s="1"/>
      <c r="H17" s="1"/>
      <c r="I17" s="1"/>
      <c r="J17" s="1"/>
      <c r="K17" s="25"/>
      <c r="L17" s="1"/>
      <c r="M17" s="1"/>
      <c r="N17" s="1"/>
      <c r="O17" s="1"/>
      <c r="P17" s="1"/>
      <c r="Q17" s="1"/>
      <c r="R17" s="1"/>
      <c r="S17" s="1"/>
      <c r="T17" s="25"/>
      <c r="U17" s="1"/>
      <c r="V17" s="1"/>
      <c r="W17" s="1"/>
      <c r="X17" s="1"/>
      <c r="Y17" s="1"/>
      <c r="Z17" s="1"/>
    </row>
    <row r="18" spans="1:26" ht="27.75" customHeight="1" x14ac:dyDescent="0.2">
      <c r="A18" s="1"/>
      <c r="B18" s="13" t="s">
        <v>21</v>
      </c>
      <c r="C18" s="13" t="s">
        <v>22</v>
      </c>
      <c r="D18" s="26">
        <v>4</v>
      </c>
      <c r="E18" s="16" t="str">
        <f t="shared" si="2"/>
        <v>Intermedio</v>
      </c>
      <c r="F18" s="16">
        <f t="shared" si="3"/>
        <v>10</v>
      </c>
      <c r="G18" s="1"/>
      <c r="H18" s="1"/>
      <c r="I18" s="1"/>
      <c r="J18" s="1"/>
      <c r="K18" s="25"/>
      <c r="L18" s="1"/>
      <c r="M18" s="1"/>
      <c r="N18" s="1"/>
      <c r="O18" s="1"/>
      <c r="P18" s="1"/>
      <c r="Q18" s="1"/>
      <c r="R18" s="1"/>
      <c r="S18" s="1"/>
      <c r="T18" s="25"/>
      <c r="U18" s="1"/>
      <c r="V18" s="1"/>
      <c r="W18" s="1"/>
      <c r="X18" s="1"/>
      <c r="Y18" s="1"/>
      <c r="Z18" s="1"/>
    </row>
    <row r="19" spans="1:26" ht="27.75" customHeight="1" x14ac:dyDescent="0.2">
      <c r="A19" s="1"/>
      <c r="B19" s="13" t="s">
        <v>23</v>
      </c>
      <c r="C19" s="13"/>
      <c r="D19" s="26"/>
      <c r="E19" s="16" t="str">
        <f t="shared" si="2"/>
        <v>-</v>
      </c>
      <c r="F19" s="16">
        <f t="shared" si="3"/>
        <v>0</v>
      </c>
      <c r="G19" s="1"/>
      <c r="H19" s="1"/>
      <c r="I19" s="1"/>
      <c r="J19" s="1"/>
      <c r="K19" s="25"/>
      <c r="L19" s="1"/>
      <c r="M19" s="1"/>
      <c r="N19" s="1"/>
      <c r="O19" s="1"/>
      <c r="P19" s="1"/>
      <c r="Q19" s="1"/>
      <c r="R19" s="1"/>
      <c r="S19" s="1"/>
      <c r="T19" s="25"/>
      <c r="U19" s="1"/>
      <c r="V19" s="1"/>
      <c r="W19" s="1"/>
      <c r="X19" s="1"/>
      <c r="Y19" s="1"/>
      <c r="Z19" s="1"/>
    </row>
    <row r="20" spans="1:26" ht="27.75" customHeight="1" x14ac:dyDescent="0.2">
      <c r="A20" s="1"/>
      <c r="B20" s="13" t="s">
        <v>24</v>
      </c>
      <c r="C20" s="27"/>
      <c r="D20" s="28"/>
      <c r="E20" s="16" t="str">
        <f t="shared" si="2"/>
        <v>-</v>
      </c>
      <c r="F20" s="16">
        <f t="shared" si="3"/>
        <v>0</v>
      </c>
      <c r="G20" s="1"/>
      <c r="H20" s="1"/>
      <c r="I20" s="1"/>
      <c r="J20" s="1"/>
      <c r="K20" s="25"/>
      <c r="L20" s="1"/>
      <c r="M20" s="1"/>
      <c r="N20" s="1"/>
      <c r="O20" s="1"/>
      <c r="P20" s="1"/>
      <c r="Q20" s="1"/>
      <c r="R20" s="1"/>
      <c r="S20" s="1"/>
      <c r="T20" s="25"/>
      <c r="U20" s="1"/>
      <c r="V20" s="1"/>
      <c r="W20" s="1"/>
      <c r="X20" s="1"/>
      <c r="Y20" s="1"/>
      <c r="Z20" s="1"/>
    </row>
    <row r="21" spans="1:26" ht="27.75" customHeight="1" x14ac:dyDescent="0.2">
      <c r="A21" s="1"/>
      <c r="B21" s="13" t="s">
        <v>25</v>
      </c>
      <c r="C21" s="27"/>
      <c r="D21" s="28"/>
      <c r="E21" s="16" t="str">
        <f t="shared" si="2"/>
        <v>-</v>
      </c>
      <c r="F21" s="16">
        <f t="shared" si="3"/>
        <v>0</v>
      </c>
      <c r="G21" s="1"/>
      <c r="H21" s="1"/>
      <c r="I21" s="1"/>
      <c r="J21" s="1"/>
      <c r="K21" s="25"/>
      <c r="L21" s="1"/>
      <c r="M21" s="1"/>
      <c r="N21" s="1"/>
      <c r="O21" s="1"/>
      <c r="P21" s="1"/>
      <c r="Q21" s="1"/>
      <c r="R21" s="1"/>
      <c r="S21" s="1"/>
      <c r="T21" s="25"/>
      <c r="U21" s="1"/>
      <c r="V21" s="1"/>
      <c r="W21" s="1"/>
      <c r="X21" s="1"/>
      <c r="Y21" s="1"/>
      <c r="Z21" s="1"/>
    </row>
    <row r="22" spans="1:26" ht="27.75" customHeight="1" x14ac:dyDescent="0.2">
      <c r="A22" s="1"/>
      <c r="B22" s="13" t="s">
        <v>26</v>
      </c>
      <c r="C22" s="27"/>
      <c r="D22" s="28"/>
      <c r="E22" s="16" t="str">
        <f t="shared" si="2"/>
        <v>-</v>
      </c>
      <c r="F22" s="16">
        <f t="shared" si="3"/>
        <v>0</v>
      </c>
      <c r="G22" s="1"/>
      <c r="H22" s="1"/>
      <c r="I22" s="1"/>
      <c r="J22" s="1"/>
      <c r="K22" s="25"/>
      <c r="L22" s="1"/>
      <c r="M22" s="1"/>
      <c r="N22" s="1"/>
      <c r="O22" s="1"/>
      <c r="P22" s="1"/>
      <c r="Q22" s="1"/>
      <c r="R22" s="1"/>
      <c r="S22" s="1"/>
      <c r="T22" s="25"/>
      <c r="U22" s="1"/>
      <c r="V22" s="1"/>
      <c r="W22" s="1"/>
      <c r="X22" s="1"/>
      <c r="Y22" s="1"/>
      <c r="Z22" s="1"/>
    </row>
    <row r="23" spans="1:26" ht="27.75" customHeight="1" x14ac:dyDescent="0.2">
      <c r="A23" s="1"/>
      <c r="B23" s="29"/>
      <c r="C23" s="88" t="s">
        <v>27</v>
      </c>
      <c r="D23" s="89"/>
      <c r="E23" s="90"/>
      <c r="F23" s="30">
        <f>SUM(F17:F22)</f>
        <v>15</v>
      </c>
      <c r="G23" s="1"/>
      <c r="H23" s="10"/>
      <c r="I23" s="1"/>
      <c r="J23" s="1"/>
      <c r="K23" s="2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.75" customHeight="1" x14ac:dyDescent="0.2">
      <c r="A24" s="1"/>
      <c r="B24" s="1"/>
      <c r="C24" s="1"/>
      <c r="D24" s="2"/>
      <c r="E24" s="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7.75" customHeight="1" x14ac:dyDescent="0.2">
      <c r="A25" s="1"/>
      <c r="B25" s="1"/>
      <c r="C25" s="1"/>
      <c r="D25" s="2"/>
      <c r="E25" s="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7.75" customHeight="1" x14ac:dyDescent="0.2">
      <c r="A26" s="10" t="s">
        <v>28</v>
      </c>
      <c r="B26" s="31"/>
      <c r="C26" s="82" t="s">
        <v>29</v>
      </c>
      <c r="D26" s="83"/>
      <c r="E26" s="84"/>
      <c r="F26" s="20">
        <f>G13+F23</f>
        <v>21</v>
      </c>
      <c r="G26" s="1"/>
      <c r="H26" s="10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7.75" customHeight="1" x14ac:dyDescent="0.2">
      <c r="A27" s="1"/>
      <c r="B27" s="1"/>
      <c r="C27" s="1"/>
      <c r="D27" s="2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.75" customHeight="1" x14ac:dyDescent="0.2">
      <c r="A28" s="1"/>
      <c r="B28" s="3"/>
      <c r="C28" s="1"/>
      <c r="D28" s="2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">
      <c r="A29" s="10" t="s">
        <v>30</v>
      </c>
      <c r="B29" s="12" t="s">
        <v>31</v>
      </c>
      <c r="C29" s="12" t="s">
        <v>32</v>
      </c>
      <c r="D29" s="11" t="s">
        <v>33</v>
      </c>
      <c r="E29" s="11" t="s">
        <v>7</v>
      </c>
      <c r="F29" s="11" t="s">
        <v>34</v>
      </c>
      <c r="G29" s="11" t="s">
        <v>35</v>
      </c>
      <c r="H29" s="1" t="s">
        <v>36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27.75" customHeight="1" x14ac:dyDescent="0.2">
      <c r="A30" s="1"/>
      <c r="B30" s="32" t="s">
        <v>37</v>
      </c>
      <c r="C30" s="32" t="s">
        <v>38</v>
      </c>
      <c r="D30" s="33" t="s">
        <v>39</v>
      </c>
      <c r="E30" s="34">
        <v>2</v>
      </c>
      <c r="F30" s="17">
        <v>3</v>
      </c>
      <c r="G30" s="35">
        <f t="shared" ref="G30:G42" si="4">E30*F30</f>
        <v>6</v>
      </c>
      <c r="H30" s="36" t="s">
        <v>40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32" t="s">
        <v>41</v>
      </c>
      <c r="C31" s="32" t="s">
        <v>38</v>
      </c>
      <c r="D31" s="33" t="s">
        <v>39</v>
      </c>
      <c r="E31" s="35">
        <v>2</v>
      </c>
      <c r="F31" s="17">
        <v>3</v>
      </c>
      <c r="G31" s="35">
        <f t="shared" si="4"/>
        <v>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7.75" customHeight="1" x14ac:dyDescent="0.2">
      <c r="A32" s="1"/>
      <c r="B32" s="32" t="s">
        <v>42</v>
      </c>
      <c r="C32" s="32" t="s">
        <v>38</v>
      </c>
      <c r="D32" s="33" t="s">
        <v>39</v>
      </c>
      <c r="E32" s="35">
        <v>1</v>
      </c>
      <c r="F32" s="17">
        <v>3</v>
      </c>
      <c r="G32" s="35">
        <f t="shared" si="4"/>
        <v>3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32" t="s">
        <v>43</v>
      </c>
      <c r="C33" s="32" t="s">
        <v>38</v>
      </c>
      <c r="D33" s="33" t="s">
        <v>39</v>
      </c>
      <c r="E33" s="35">
        <v>1</v>
      </c>
      <c r="F33" s="17">
        <v>3</v>
      </c>
      <c r="G33" s="35">
        <f t="shared" si="4"/>
        <v>3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.75" customHeight="1" x14ac:dyDescent="0.2">
      <c r="A34" s="1"/>
      <c r="B34" s="32" t="s">
        <v>44</v>
      </c>
      <c r="C34" s="32" t="s">
        <v>38</v>
      </c>
      <c r="D34" s="33" t="s">
        <v>39</v>
      </c>
      <c r="E34" s="34">
        <v>1</v>
      </c>
      <c r="F34" s="17">
        <v>3</v>
      </c>
      <c r="G34" s="35">
        <f t="shared" si="4"/>
        <v>3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7.75" customHeight="1" x14ac:dyDescent="0.2">
      <c r="A35" s="1"/>
      <c r="B35" s="32" t="s">
        <v>45</v>
      </c>
      <c r="C35" s="32" t="s">
        <v>38</v>
      </c>
      <c r="D35" s="33" t="s">
        <v>39</v>
      </c>
      <c r="E35" s="34">
        <v>0.5</v>
      </c>
      <c r="F35" s="17">
        <v>3</v>
      </c>
      <c r="G35" s="35">
        <f t="shared" si="4"/>
        <v>1.5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.75" customHeight="1" x14ac:dyDescent="0.2">
      <c r="A36" s="1"/>
      <c r="B36" s="32" t="s">
        <v>46</v>
      </c>
      <c r="C36" s="32" t="s">
        <v>38</v>
      </c>
      <c r="D36" s="33" t="s">
        <v>39</v>
      </c>
      <c r="E36" s="34">
        <v>0.5</v>
      </c>
      <c r="F36" s="17">
        <v>3</v>
      </c>
      <c r="G36" s="35">
        <f t="shared" si="4"/>
        <v>1.5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.75" customHeight="1" x14ac:dyDescent="0.2">
      <c r="A37" s="1"/>
      <c r="B37" s="32" t="s">
        <v>47</v>
      </c>
      <c r="C37" s="32" t="s">
        <v>38</v>
      </c>
      <c r="D37" s="33" t="s">
        <v>39</v>
      </c>
      <c r="E37" s="34">
        <v>2</v>
      </c>
      <c r="F37" s="17">
        <v>3</v>
      </c>
      <c r="G37" s="35">
        <f t="shared" si="4"/>
        <v>6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">
      <c r="A38" s="1"/>
      <c r="B38" s="32" t="s">
        <v>48</v>
      </c>
      <c r="C38" s="32" t="s">
        <v>38</v>
      </c>
      <c r="D38" s="33" t="s">
        <v>39</v>
      </c>
      <c r="E38" s="34">
        <v>1</v>
      </c>
      <c r="F38" s="17">
        <v>3</v>
      </c>
      <c r="G38" s="35">
        <f t="shared" si="4"/>
        <v>3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7.75" customHeight="1" x14ac:dyDescent="0.2">
      <c r="A39" s="1"/>
      <c r="B39" s="32" t="s">
        <v>49</v>
      </c>
      <c r="C39" s="32" t="s">
        <v>38</v>
      </c>
      <c r="D39" s="33" t="s">
        <v>39</v>
      </c>
      <c r="E39" s="34">
        <v>1</v>
      </c>
      <c r="F39" s="17">
        <v>3</v>
      </c>
      <c r="G39" s="35">
        <f t="shared" si="4"/>
        <v>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32" t="s">
        <v>50</v>
      </c>
      <c r="C40" s="32" t="s">
        <v>38</v>
      </c>
      <c r="D40" s="33" t="s">
        <v>39</v>
      </c>
      <c r="E40" s="35">
        <v>1</v>
      </c>
      <c r="F40" s="17">
        <v>3</v>
      </c>
      <c r="G40" s="35">
        <f t="shared" si="4"/>
        <v>3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32" t="s">
        <v>51</v>
      </c>
      <c r="C41" s="32" t="s">
        <v>38</v>
      </c>
      <c r="D41" s="33" t="s">
        <v>39</v>
      </c>
      <c r="E41" s="35">
        <v>1</v>
      </c>
      <c r="F41" s="17">
        <v>3</v>
      </c>
      <c r="G41" s="35">
        <f t="shared" si="4"/>
        <v>3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32" t="s">
        <v>52</v>
      </c>
      <c r="C42" s="32" t="s">
        <v>38</v>
      </c>
      <c r="D42" s="33" t="s">
        <v>39</v>
      </c>
      <c r="E42" s="34">
        <v>1</v>
      </c>
      <c r="F42" s="17">
        <v>3</v>
      </c>
      <c r="G42" s="35">
        <f t="shared" si="4"/>
        <v>3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7.75" customHeight="1" x14ac:dyDescent="0.2">
      <c r="A43" s="1"/>
      <c r="B43" s="82" t="s">
        <v>53</v>
      </c>
      <c r="C43" s="83"/>
      <c r="D43" s="83"/>
      <c r="E43" s="83"/>
      <c r="F43" s="84"/>
      <c r="G43" s="37">
        <f>SUM(G30:G42)</f>
        <v>45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.75" customHeight="1" x14ac:dyDescent="0.2">
      <c r="A44" s="1"/>
      <c r="B44" s="82" t="s">
        <v>54</v>
      </c>
      <c r="C44" s="83"/>
      <c r="D44" s="83"/>
      <c r="E44" s="83"/>
      <c r="F44" s="84"/>
      <c r="G44" s="30">
        <f>0.6+(0.01*G43)</f>
        <v>1.05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75" customHeight="1" x14ac:dyDescent="0.2">
      <c r="A45" s="1"/>
      <c r="B45" s="21"/>
      <c r="C45" s="3"/>
      <c r="D45" s="3"/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7.75" customHeight="1" x14ac:dyDescent="0.2">
      <c r="A46" s="1"/>
      <c r="B46" s="38"/>
      <c r="C46" s="38"/>
      <c r="D46" s="39"/>
      <c r="E46" s="38"/>
      <c r="F46" s="38"/>
      <c r="G46" s="38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0" t="s">
        <v>55</v>
      </c>
      <c r="B47" s="12" t="s">
        <v>56</v>
      </c>
      <c r="C47" s="12" t="s">
        <v>57</v>
      </c>
      <c r="D47" s="11" t="s">
        <v>58</v>
      </c>
      <c r="E47" s="11" t="s">
        <v>7</v>
      </c>
      <c r="F47" s="11" t="s">
        <v>34</v>
      </c>
      <c r="G47" s="11" t="s">
        <v>35</v>
      </c>
      <c r="H47" s="1" t="s">
        <v>59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">
      <c r="A48" s="1"/>
      <c r="B48" s="40" t="s">
        <v>60</v>
      </c>
      <c r="C48" s="32" t="s">
        <v>61</v>
      </c>
      <c r="D48" s="33" t="s">
        <v>39</v>
      </c>
      <c r="E48" s="34">
        <v>1.5</v>
      </c>
      <c r="F48" s="17">
        <v>3</v>
      </c>
      <c r="G48" s="35">
        <f t="shared" ref="G48:G55" si="5">E48*F48</f>
        <v>4.5</v>
      </c>
      <c r="H48" s="36" t="s">
        <v>40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40" t="s">
        <v>62</v>
      </c>
      <c r="C49" s="32" t="s">
        <v>61</v>
      </c>
      <c r="D49" s="33" t="s">
        <v>39</v>
      </c>
      <c r="E49" s="34">
        <v>0.5</v>
      </c>
      <c r="F49" s="17">
        <v>3</v>
      </c>
      <c r="G49" s="35">
        <f t="shared" si="5"/>
        <v>1.5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40" t="s">
        <v>63</v>
      </c>
      <c r="C50" s="32" t="s">
        <v>61</v>
      </c>
      <c r="D50" s="33" t="s">
        <v>39</v>
      </c>
      <c r="E50" s="34">
        <v>1</v>
      </c>
      <c r="F50" s="17">
        <v>3</v>
      </c>
      <c r="G50" s="35">
        <f t="shared" si="5"/>
        <v>3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40" t="s">
        <v>64</v>
      </c>
      <c r="C51" s="32" t="s">
        <v>61</v>
      </c>
      <c r="D51" s="33" t="s">
        <v>39</v>
      </c>
      <c r="E51" s="34">
        <v>0.5</v>
      </c>
      <c r="F51" s="17">
        <v>3</v>
      </c>
      <c r="G51" s="35">
        <f t="shared" si="5"/>
        <v>1.5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7.75" customHeight="1" x14ac:dyDescent="0.2">
      <c r="A52" s="1"/>
      <c r="B52" s="40" t="s">
        <v>65</v>
      </c>
      <c r="C52" s="32" t="s">
        <v>66</v>
      </c>
      <c r="D52" s="33" t="s">
        <v>39</v>
      </c>
      <c r="E52" s="34">
        <v>1</v>
      </c>
      <c r="F52" s="17">
        <v>3</v>
      </c>
      <c r="G52" s="35">
        <f t="shared" si="5"/>
        <v>3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40" t="s">
        <v>67</v>
      </c>
      <c r="C53" s="32" t="s">
        <v>68</v>
      </c>
      <c r="D53" s="33" t="s">
        <v>39</v>
      </c>
      <c r="E53" s="34">
        <v>2</v>
      </c>
      <c r="F53" s="17">
        <v>3</v>
      </c>
      <c r="G53" s="35">
        <f t="shared" si="5"/>
        <v>6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40" t="s">
        <v>69</v>
      </c>
      <c r="C54" s="32" t="s">
        <v>70</v>
      </c>
      <c r="D54" s="33" t="s">
        <v>39</v>
      </c>
      <c r="E54" s="34">
        <v>-1</v>
      </c>
      <c r="F54" s="17">
        <v>3</v>
      </c>
      <c r="G54" s="35">
        <f t="shared" si="5"/>
        <v>-3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40" t="s">
        <v>71</v>
      </c>
      <c r="C55" s="32" t="s">
        <v>72</v>
      </c>
      <c r="D55" s="33" t="s">
        <v>39</v>
      </c>
      <c r="E55" s="34">
        <v>-1</v>
      </c>
      <c r="F55" s="17">
        <v>3</v>
      </c>
      <c r="G55" s="35">
        <f t="shared" si="5"/>
        <v>-3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7.75" customHeight="1" x14ac:dyDescent="0.2">
      <c r="A56" s="1"/>
      <c r="B56" s="82" t="s">
        <v>73</v>
      </c>
      <c r="C56" s="83"/>
      <c r="D56" s="83"/>
      <c r="E56" s="83"/>
      <c r="F56" s="84"/>
      <c r="G56" s="11">
        <f>SUM(G48:G55)</f>
        <v>13.5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7.75" customHeight="1" x14ac:dyDescent="0.2">
      <c r="A57" s="1"/>
      <c r="B57" s="82" t="s">
        <v>74</v>
      </c>
      <c r="C57" s="83"/>
      <c r="D57" s="83"/>
      <c r="E57" s="83"/>
      <c r="F57" s="84"/>
      <c r="G57" s="11">
        <f>1.4 + (-0.03*G56)</f>
        <v>0.99499999999999988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7.75" customHeight="1" x14ac:dyDescent="0.2">
      <c r="A58" s="1"/>
      <c r="B58" s="19"/>
      <c r="C58" s="41"/>
      <c r="D58" s="42"/>
      <c r="E58" s="41"/>
      <c r="F58" s="43" t="s">
        <v>75</v>
      </c>
      <c r="G58" s="11">
        <f>COUNTIF($F$48:$F$53,"&lt;3")+COUNTIF($F$54:$F$55,"&gt;3")</f>
        <v>0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7.75" customHeight="1" x14ac:dyDescent="0.2">
      <c r="A59" s="1"/>
      <c r="B59" s="21"/>
      <c r="C59" s="3"/>
      <c r="D59" s="3"/>
      <c r="E59" s="3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7.75" customHeight="1" x14ac:dyDescent="0.2">
      <c r="A60" s="1"/>
      <c r="B60" s="1"/>
      <c r="C60" s="1"/>
      <c r="D60" s="2"/>
      <c r="E60" s="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7.75" customHeight="1" x14ac:dyDescent="0.2">
      <c r="A61" s="10" t="s">
        <v>76</v>
      </c>
      <c r="B61" s="85" t="s">
        <v>77</v>
      </c>
      <c r="C61" s="83"/>
      <c r="D61" s="83"/>
      <c r="E61" s="83"/>
      <c r="F61" s="84"/>
      <c r="G61" s="44">
        <f>F26*G44*G57</f>
        <v>21.939749999999997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27.75" customHeight="1" x14ac:dyDescent="0.2">
      <c r="A62" s="1"/>
      <c r="B62" s="1"/>
      <c r="C62" s="1"/>
      <c r="D62" s="2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7.75" customHeight="1" x14ac:dyDescent="0.2">
      <c r="A63" s="1"/>
      <c r="B63" s="1"/>
      <c r="C63" s="1"/>
      <c r="D63" s="2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45" t="s">
        <v>78</v>
      </c>
      <c r="B64" s="12" t="s">
        <v>79</v>
      </c>
      <c r="C64" s="12" t="s">
        <v>80</v>
      </c>
      <c r="D64" s="74" t="s">
        <v>81</v>
      </c>
      <c r="E64" s="3"/>
      <c r="F64" s="1"/>
      <c r="G64" s="12" t="s">
        <v>82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27.75" customHeight="1" x14ac:dyDescent="0.2">
      <c r="A65" s="1"/>
      <c r="B65" s="46">
        <v>20</v>
      </c>
      <c r="C65" s="46">
        <f>IF($G$58&gt;=5,36,IF(AND(G$58&gt;2,$G$58&lt;=4),28, IF(AND($G$58&gt;=0,$G$58&lt;=2),20,"error")))</f>
        <v>20</v>
      </c>
      <c r="D65" s="69">
        <f>IF($G$58&gt;=5,$G$65*(36/20),IF(AND($G$58&gt;2,$G$58&lt;=4),$G$65*(28/20), IF(AND($G$58&gt;=0,$G$58&lt;=2),$G$65,"error")))</f>
        <v>2.5</v>
      </c>
      <c r="E65" s="3"/>
      <c r="F65" s="1"/>
      <c r="G65" s="47">
        <v>2.5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27.75" customHeight="1" x14ac:dyDescent="0.2">
      <c r="A66" s="1"/>
      <c r="B66" s="86" t="s">
        <v>83</v>
      </c>
      <c r="C66" s="83"/>
      <c r="D66" s="84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7.75" customHeight="1" x14ac:dyDescent="0.2">
      <c r="A67" s="48" t="s">
        <v>84</v>
      </c>
      <c r="B67" s="46">
        <f t="shared" ref="B67:D67" si="6">$G$61*B65</f>
        <v>438.79499999999996</v>
      </c>
      <c r="C67" s="46">
        <f t="shared" si="6"/>
        <v>438.79499999999996</v>
      </c>
      <c r="D67" s="70">
        <f t="shared" si="6"/>
        <v>54.849374999999995</v>
      </c>
      <c r="E67" s="3"/>
      <c r="F67" s="1"/>
      <c r="G67" s="12" t="s">
        <v>98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27.75" customHeight="1" x14ac:dyDescent="0.2">
      <c r="A68" s="48" t="s">
        <v>85</v>
      </c>
      <c r="B68" s="49">
        <f>B67/(22*G68)</f>
        <v>2.4931534090909087</v>
      </c>
      <c r="C68" s="49">
        <f>C67/(22*G68)</f>
        <v>2.4931534090909087</v>
      </c>
      <c r="D68" s="71">
        <f>D67/(22*G68)</f>
        <v>0.31164417613636358</v>
      </c>
      <c r="E68" s="3"/>
      <c r="F68" s="1"/>
      <c r="G68" s="47">
        <v>8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27.75" customHeight="1" x14ac:dyDescent="0.2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27.75" customHeight="1" x14ac:dyDescent="0.2">
      <c r="A70" s="1"/>
      <c r="B70" s="1"/>
      <c r="C70" s="1"/>
      <c r="D70" s="2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27.75" customHeight="1" x14ac:dyDescent="0.2">
      <c r="A71" s="10" t="s">
        <v>100</v>
      </c>
      <c r="B71" s="50" t="s">
        <v>102</v>
      </c>
      <c r="C71" s="51"/>
      <c r="D71" s="42"/>
      <c r="E71" s="41"/>
      <c r="F71" s="5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27.75" customHeight="1" x14ac:dyDescent="0.2">
      <c r="A72" s="1"/>
      <c r="B72" s="31" t="s">
        <v>86</v>
      </c>
      <c r="C72" s="11" t="s">
        <v>87</v>
      </c>
      <c r="D72" s="44" t="s">
        <v>103</v>
      </c>
      <c r="E72" s="44" t="s">
        <v>104</v>
      </c>
      <c r="F72" s="72" t="s">
        <v>105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7.75" customHeight="1" x14ac:dyDescent="0.2">
      <c r="A73" s="1"/>
      <c r="B73" s="53" t="s">
        <v>91</v>
      </c>
      <c r="C73" s="80">
        <v>0.4</v>
      </c>
      <c r="D73" s="49">
        <f>+B67</f>
        <v>438.79499999999996</v>
      </c>
      <c r="E73" s="49">
        <f>+C67</f>
        <v>438.79499999999996</v>
      </c>
      <c r="F73" s="73">
        <f>+D67</f>
        <v>54.849374999999995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27.75" customHeight="1" x14ac:dyDescent="0.2">
      <c r="A74" s="1"/>
      <c r="B74" s="53" t="s">
        <v>92</v>
      </c>
      <c r="C74" s="80">
        <f>1-C73</f>
        <v>0.6</v>
      </c>
      <c r="D74" s="46">
        <f>+D73*1.5</f>
        <v>658.19249999999988</v>
      </c>
      <c r="E74" s="46">
        <f t="shared" ref="E74:F74" si="7">+E73*1.5</f>
        <v>658.19249999999988</v>
      </c>
      <c r="F74" s="70">
        <f t="shared" si="7"/>
        <v>82.274062499999985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27.75" customHeight="1" x14ac:dyDescent="0.2">
      <c r="A75" s="1"/>
      <c r="B75" s="54"/>
      <c r="C75" s="80">
        <f>SUM(C73:C74)</f>
        <v>1</v>
      </c>
      <c r="D75" s="49">
        <f>+D73+D74</f>
        <v>1096.9874999999997</v>
      </c>
      <c r="E75" s="49">
        <f t="shared" ref="E75:F75" si="8">+E73+E74</f>
        <v>1096.9874999999997</v>
      </c>
      <c r="F75" s="73">
        <f t="shared" si="8"/>
        <v>137.12343749999997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27.75" customHeight="1" x14ac:dyDescent="0.2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7.75" customHeight="1" x14ac:dyDescent="0.2">
      <c r="A77" s="10" t="s">
        <v>101</v>
      </c>
      <c r="B77" s="50" t="s">
        <v>99</v>
      </c>
      <c r="C77" s="51"/>
      <c r="D77" s="42"/>
      <c r="E77" s="41"/>
      <c r="F77" s="5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27.75" customHeight="1" x14ac:dyDescent="0.2">
      <c r="A78" s="1"/>
      <c r="B78" s="31" t="s">
        <v>86</v>
      </c>
      <c r="C78" s="11" t="s">
        <v>87</v>
      </c>
      <c r="D78" s="44" t="s">
        <v>88</v>
      </c>
      <c r="E78" s="44" t="s">
        <v>89</v>
      </c>
      <c r="F78" s="72" t="s">
        <v>90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27.75" customHeight="1" x14ac:dyDescent="0.2">
      <c r="A79" s="1"/>
      <c r="B79" s="53" t="s">
        <v>91</v>
      </c>
      <c r="C79" s="80">
        <v>0.4</v>
      </c>
      <c r="D79" s="49">
        <f t="shared" ref="D79:F81" si="9">$C79/$C$79*B$68</f>
        <v>2.4931534090909087</v>
      </c>
      <c r="E79" s="49">
        <f t="shared" si="9"/>
        <v>2.4931534090909087</v>
      </c>
      <c r="F79" s="73">
        <f t="shared" si="9"/>
        <v>0.31164417613636358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27.75" customHeight="1" x14ac:dyDescent="0.2">
      <c r="A80" s="1"/>
      <c r="B80" s="53" t="s">
        <v>92</v>
      </c>
      <c r="C80" s="80">
        <f>1-C79</f>
        <v>0.6</v>
      </c>
      <c r="D80" s="46">
        <f t="shared" si="9"/>
        <v>3.7397301136363623</v>
      </c>
      <c r="E80" s="46">
        <f t="shared" si="9"/>
        <v>3.7397301136363623</v>
      </c>
      <c r="F80" s="70">
        <f t="shared" si="9"/>
        <v>0.46746626420454529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27.75" customHeight="1" x14ac:dyDescent="0.2">
      <c r="A81" s="1"/>
      <c r="B81" s="54"/>
      <c r="C81" s="80">
        <f>SUM(C79:C80)</f>
        <v>1</v>
      </c>
      <c r="D81" s="49">
        <f t="shared" si="9"/>
        <v>6.2328835227272714</v>
      </c>
      <c r="E81" s="49">
        <f t="shared" si="9"/>
        <v>6.2328835227272714</v>
      </c>
      <c r="F81" s="73">
        <f t="shared" si="9"/>
        <v>0.77911044034090893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27.75" customHeight="1" x14ac:dyDescent="0.2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27.75" customHeight="1" x14ac:dyDescent="0.2">
      <c r="A83" s="10" t="s">
        <v>93</v>
      </c>
      <c r="B83" s="17">
        <v>4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27.75" customHeight="1" x14ac:dyDescent="0.2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27.75" customHeight="1" x14ac:dyDescent="0.2">
      <c r="A85" s="10" t="s">
        <v>94</v>
      </c>
      <c r="B85" s="44" t="s">
        <v>95</v>
      </c>
      <c r="C85" s="44" t="s">
        <v>96</v>
      </c>
      <c r="D85" s="72" t="s">
        <v>97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27.75" customHeight="1" x14ac:dyDescent="0.2">
      <c r="A86" s="55"/>
      <c r="B86" s="56">
        <f>$D$81/$B$83</f>
        <v>1.5582208806818179</v>
      </c>
      <c r="C86" s="56">
        <f>$E$81/$B$83</f>
        <v>1.5582208806818179</v>
      </c>
      <c r="D86" s="75">
        <f>$F$81/$B$83</f>
        <v>0.19477761008522723</v>
      </c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2">
      <c r="A87" s="55"/>
      <c r="B87" s="55"/>
      <c r="C87" s="55"/>
      <c r="D87" s="55"/>
      <c r="E87" s="57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2">
      <c r="A88" s="58" t="s">
        <v>107</v>
      </c>
      <c r="B88" s="44" t="s">
        <v>106</v>
      </c>
      <c r="C88" s="44" t="s">
        <v>106</v>
      </c>
      <c r="D88" s="72" t="s">
        <v>106</v>
      </c>
      <c r="E88" s="57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2">
      <c r="A89" s="59">
        <v>45952</v>
      </c>
      <c r="B89" s="60">
        <f>EDATE(A89,INT(B86)) + (B86-INT(B86))*DAY(EDATE(A89,INT(B86)+1)-EDATE(A89,INT(B86)))</f>
        <v>45999.746626420456</v>
      </c>
      <c r="C89" s="60">
        <f>EDATE(A89,INT(C86)) + (C86-INT(C86))*DAY(EDATE(A89,INT(C86)+1)-EDATE(A89,INT(C86)))</f>
        <v>45999.746626420456</v>
      </c>
      <c r="D89" s="76">
        <f>EDATE(A89,INT(D86)) + (D86-INT(D86))*DAY(EDATE(A89,INT(D86)+1)-EDATE(A89,INT(D86)))</f>
        <v>45958.038105912645</v>
      </c>
      <c r="E89" s="57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2">
      <c r="A90" s="55"/>
      <c r="B90" s="55"/>
      <c r="C90" s="55"/>
      <c r="D90" s="55"/>
      <c r="E90" s="57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2">
      <c r="A91" s="55"/>
      <c r="B91" s="55"/>
      <c r="C91" s="55"/>
      <c r="D91" s="55"/>
      <c r="E91" s="57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2">
      <c r="A92" s="55"/>
      <c r="B92" s="55"/>
      <c r="C92" s="55"/>
      <c r="D92" s="55"/>
      <c r="E92" s="57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2">
      <c r="A93" s="55"/>
      <c r="B93" s="55"/>
      <c r="C93" s="55"/>
      <c r="D93" s="55"/>
      <c r="E93" s="57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2">
      <c r="A94" s="55"/>
      <c r="B94" s="55"/>
      <c r="C94" s="55"/>
      <c r="D94" s="55"/>
      <c r="E94" s="57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2">
      <c r="A95" s="55"/>
      <c r="B95" s="55"/>
      <c r="C95" s="55"/>
      <c r="D95" s="55"/>
      <c r="E95" s="57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2">
      <c r="A96" s="55"/>
      <c r="B96" s="55"/>
      <c r="C96" s="55"/>
      <c r="D96" s="55"/>
      <c r="E96" s="57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2">
      <c r="A97" s="55"/>
      <c r="B97" s="55"/>
      <c r="C97" s="55"/>
      <c r="D97" s="55"/>
      <c r="E97" s="57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2">
      <c r="A98" s="55"/>
      <c r="B98" s="55"/>
      <c r="C98" s="55"/>
      <c r="D98" s="55"/>
      <c r="E98" s="57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2">
      <c r="A99" s="55"/>
      <c r="B99" s="55"/>
      <c r="C99" s="55"/>
      <c r="D99" s="55"/>
      <c r="E99" s="57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2">
      <c r="A100" s="55"/>
      <c r="B100" s="55"/>
      <c r="C100" s="55"/>
      <c r="D100" s="55"/>
      <c r="E100" s="57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2">
      <c r="A101" s="55"/>
      <c r="B101" s="55"/>
      <c r="C101" s="55"/>
      <c r="D101" s="55"/>
      <c r="E101" s="57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2">
      <c r="A102" s="55"/>
      <c r="B102" s="55"/>
      <c r="C102" s="55"/>
      <c r="D102" s="55"/>
      <c r="E102" s="57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2">
      <c r="A103" s="1"/>
      <c r="B103" s="1"/>
      <c r="C103" s="1"/>
      <c r="D103" s="2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2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2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2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2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2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2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2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2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2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2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2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2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2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2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2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2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2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2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2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2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2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2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2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2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2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2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2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2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2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2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2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2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2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2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2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2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2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2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2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2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2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2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2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2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2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2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2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2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2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2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2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2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2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2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2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2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2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2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2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2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2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2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2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2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2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2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2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2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2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2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2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2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2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2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2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2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2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2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2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2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2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2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2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2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2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2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2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2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2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2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2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2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2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2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2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2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2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2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2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2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2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2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2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2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2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2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2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2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2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2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2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2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2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2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2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2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2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2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2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2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2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2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2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2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2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2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2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2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2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2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2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2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2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2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2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2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2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2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2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2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2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2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2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2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2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2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2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2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2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2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2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2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2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2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2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2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2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2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2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2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2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2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2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2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2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2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2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2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2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2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2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2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2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2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2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2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2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2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2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2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2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2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2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2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2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2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2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2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2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2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2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2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2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2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2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2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2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2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2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2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2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2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2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2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2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2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2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2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2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2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2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2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2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2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2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2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2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2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2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2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2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2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2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2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2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2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2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2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2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2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2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2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2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2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2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2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2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2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2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2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2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2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2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2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2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2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2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2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2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2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2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2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2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2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2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2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2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2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2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2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2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2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2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2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2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2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2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2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2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2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2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2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2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2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2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2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2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2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2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2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2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2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2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2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2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2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2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2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2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2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2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2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2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2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2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2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2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2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2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2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2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2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2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2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2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2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2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2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2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2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2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2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2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2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2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2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2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2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2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2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2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2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2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2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2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2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2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2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2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2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2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2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2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2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2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2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2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2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2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2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2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2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2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2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2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2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2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2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2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2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2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2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2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2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2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2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2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2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2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2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2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2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2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2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2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2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2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2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2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2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2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2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2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2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2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2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2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2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2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2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2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2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2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2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2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2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2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2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2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2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2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2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2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2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2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2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2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2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2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2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2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2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2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2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2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2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2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2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2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2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2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2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2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2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2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2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2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2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2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2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2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2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2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2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2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2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2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2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2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2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2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2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2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2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2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2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2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2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2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2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2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2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2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2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2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2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2"/>
      <c r="E733" s="3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2"/>
      <c r="E734" s="3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2"/>
      <c r="E735" s="3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2"/>
      <c r="E736" s="3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2"/>
      <c r="E737" s="3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2"/>
      <c r="E738" s="3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2"/>
      <c r="E739" s="3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2"/>
      <c r="E740" s="3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2"/>
      <c r="E741" s="3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2"/>
      <c r="E742" s="3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2"/>
      <c r="E743" s="3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2"/>
      <c r="E744" s="3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2"/>
      <c r="E745" s="3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2"/>
      <c r="E746" s="3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2"/>
      <c r="E747" s="3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2"/>
      <c r="E748" s="3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2"/>
      <c r="E749" s="3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2"/>
      <c r="E750" s="3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2"/>
      <c r="E751" s="3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2"/>
      <c r="E752" s="3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2"/>
      <c r="E753" s="3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2"/>
      <c r="E754" s="3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2"/>
      <c r="E755" s="3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2"/>
      <c r="E756" s="3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2"/>
      <c r="E757" s="3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2"/>
      <c r="E758" s="3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2"/>
      <c r="E759" s="3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2"/>
      <c r="E760" s="3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2"/>
      <c r="E761" s="3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2"/>
      <c r="E762" s="3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2"/>
      <c r="E763" s="3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2"/>
      <c r="E764" s="3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2"/>
      <c r="E765" s="3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2"/>
      <c r="E766" s="3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2"/>
      <c r="E767" s="3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2"/>
      <c r="E768" s="3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2"/>
      <c r="E769" s="3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2"/>
      <c r="E770" s="3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2"/>
      <c r="E771" s="3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2"/>
      <c r="E772" s="3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2"/>
      <c r="E773" s="3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2"/>
      <c r="E774" s="3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2"/>
      <c r="E775" s="3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2"/>
      <c r="E776" s="3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2"/>
      <c r="E777" s="3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2"/>
      <c r="E778" s="3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2"/>
      <c r="E779" s="3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2"/>
      <c r="E780" s="3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2"/>
      <c r="E781" s="3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2"/>
      <c r="E782" s="3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2"/>
      <c r="E783" s="3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2"/>
      <c r="E784" s="3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2"/>
      <c r="E785" s="3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2"/>
      <c r="E786" s="3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2"/>
      <c r="E787" s="3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2"/>
      <c r="E788" s="3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2"/>
      <c r="E789" s="3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2"/>
      <c r="E790" s="3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2"/>
      <c r="E791" s="3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2"/>
      <c r="E792" s="3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2"/>
      <c r="E793" s="3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2"/>
      <c r="E794" s="3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2"/>
      <c r="E795" s="3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2"/>
      <c r="E796" s="3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2"/>
      <c r="E797" s="3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2"/>
      <c r="E798" s="3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2"/>
      <c r="E799" s="3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2"/>
      <c r="E800" s="3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2"/>
      <c r="E801" s="3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2"/>
      <c r="E802" s="3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2"/>
      <c r="E803" s="3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2"/>
      <c r="E804" s="3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2"/>
      <c r="E805" s="3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2"/>
      <c r="E806" s="3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2"/>
      <c r="E807" s="3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2"/>
      <c r="E808" s="3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2"/>
      <c r="E809" s="3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2"/>
      <c r="E810" s="3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2"/>
      <c r="E811" s="3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2"/>
      <c r="E812" s="3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2"/>
      <c r="E813" s="3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2"/>
      <c r="E814" s="3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2"/>
      <c r="E815" s="3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2"/>
      <c r="E816" s="3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2"/>
      <c r="E817" s="3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2"/>
      <c r="E818" s="3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2"/>
      <c r="E819" s="3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2"/>
      <c r="E820" s="3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2"/>
      <c r="E821" s="3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2"/>
      <c r="E822" s="3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2"/>
      <c r="E823" s="3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2"/>
      <c r="E824" s="3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2"/>
      <c r="E825" s="3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2"/>
      <c r="E826" s="3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2"/>
      <c r="E827" s="3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2"/>
      <c r="E828" s="3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2"/>
      <c r="E829" s="3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2"/>
      <c r="E830" s="3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2"/>
      <c r="E831" s="3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2"/>
      <c r="E832" s="3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2"/>
      <c r="E833" s="3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2"/>
      <c r="E834" s="3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2"/>
      <c r="E835" s="3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2"/>
      <c r="E836" s="3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2"/>
      <c r="E837" s="3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2"/>
      <c r="E838" s="3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2"/>
      <c r="E839" s="3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2"/>
      <c r="E840" s="3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2"/>
      <c r="E841" s="3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2"/>
      <c r="E842" s="3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2"/>
      <c r="E843" s="3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2"/>
      <c r="E844" s="3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2"/>
      <c r="E845" s="3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2"/>
      <c r="E846" s="3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2"/>
      <c r="E847" s="3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2"/>
      <c r="E848" s="3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2"/>
      <c r="E849" s="3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2"/>
      <c r="E850" s="3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2"/>
      <c r="E851" s="3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2"/>
      <c r="E852" s="3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2"/>
      <c r="E853" s="3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2"/>
      <c r="E854" s="3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2"/>
      <c r="E855" s="3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2"/>
      <c r="E856" s="3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2"/>
      <c r="E857" s="3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2"/>
      <c r="E858" s="3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2"/>
      <c r="E859" s="3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2"/>
      <c r="E860" s="3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2"/>
      <c r="E861" s="3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2"/>
      <c r="E862" s="3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2"/>
      <c r="E863" s="3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2"/>
      <c r="E864" s="3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2"/>
      <c r="E865" s="3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2"/>
      <c r="E866" s="3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2"/>
      <c r="E867" s="3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2"/>
      <c r="E868" s="3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2"/>
      <c r="E869" s="3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2"/>
      <c r="E870" s="3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2"/>
      <c r="E871" s="3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2"/>
      <c r="E872" s="3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2"/>
      <c r="E873" s="3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2"/>
      <c r="E874" s="3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2"/>
      <c r="E875" s="3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2"/>
      <c r="E876" s="3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2"/>
      <c r="E877" s="3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2"/>
      <c r="E878" s="3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2"/>
      <c r="E879" s="3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2"/>
      <c r="E880" s="3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2"/>
      <c r="E881" s="3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2"/>
      <c r="E882" s="3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2"/>
      <c r="E883" s="3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2"/>
      <c r="E884" s="3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2"/>
      <c r="E885" s="3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2"/>
      <c r="E886" s="3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2"/>
      <c r="E887" s="3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2"/>
      <c r="E888" s="3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2"/>
      <c r="E889" s="3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2"/>
      <c r="E890" s="3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2"/>
      <c r="E891" s="3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2"/>
      <c r="E892" s="3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2"/>
      <c r="E893" s="3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2"/>
      <c r="E894" s="3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2"/>
      <c r="E895" s="3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2"/>
      <c r="E896" s="3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2"/>
      <c r="E897" s="3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2"/>
      <c r="E898" s="3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2"/>
      <c r="E899" s="3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2"/>
      <c r="E900" s="3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2"/>
      <c r="E901" s="3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2"/>
      <c r="E902" s="3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2"/>
      <c r="E903" s="3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2"/>
      <c r="E904" s="3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2"/>
      <c r="E905" s="3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2"/>
      <c r="E906" s="3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2"/>
      <c r="E907" s="3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2"/>
      <c r="E908" s="3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2"/>
      <c r="E909" s="3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2"/>
      <c r="E910" s="3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2"/>
      <c r="E911" s="3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2"/>
      <c r="E912" s="3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2"/>
      <c r="E913" s="3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2"/>
      <c r="E914" s="3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2"/>
      <c r="E915" s="3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2"/>
      <c r="E916" s="3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2"/>
      <c r="E917" s="3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2"/>
      <c r="E918" s="3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2"/>
      <c r="E919" s="3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2"/>
      <c r="E920" s="3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2"/>
      <c r="E921" s="3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2"/>
      <c r="E922" s="3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2"/>
      <c r="E923" s="3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2"/>
      <c r="E924" s="3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2"/>
      <c r="E925" s="3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2"/>
      <c r="E926" s="3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2"/>
      <c r="E927" s="3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2"/>
      <c r="E928" s="3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2"/>
      <c r="E929" s="3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2"/>
      <c r="E930" s="3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2"/>
      <c r="E931" s="3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2"/>
      <c r="E932" s="3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2"/>
      <c r="E933" s="3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2"/>
      <c r="E934" s="3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2"/>
      <c r="E935" s="3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2"/>
      <c r="E936" s="3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2"/>
      <c r="E937" s="3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2"/>
      <c r="E938" s="3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2"/>
      <c r="E939" s="3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2"/>
      <c r="E940" s="3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2"/>
      <c r="E941" s="3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2"/>
      <c r="E942" s="3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2"/>
      <c r="E943" s="3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2"/>
      <c r="E944" s="3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2"/>
      <c r="E945" s="3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2"/>
      <c r="E946" s="3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2"/>
      <c r="E947" s="3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2"/>
      <c r="E948" s="3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2"/>
      <c r="E949" s="3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2"/>
      <c r="E950" s="3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2"/>
      <c r="E951" s="3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2"/>
      <c r="E952" s="3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2"/>
      <c r="E953" s="3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2"/>
      <c r="E954" s="3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2"/>
      <c r="E955" s="3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2"/>
      <c r="E956" s="3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2"/>
      <c r="E957" s="3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2"/>
      <c r="E958" s="3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2"/>
      <c r="E959" s="3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2"/>
      <c r="E960" s="3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2"/>
      <c r="E961" s="3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2"/>
      <c r="E962" s="3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2"/>
      <c r="E963" s="3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2"/>
      <c r="E964" s="3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2"/>
      <c r="E965" s="3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2"/>
      <c r="E966" s="3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2"/>
      <c r="E967" s="3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2"/>
      <c r="E968" s="3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2"/>
      <c r="E969" s="3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2"/>
      <c r="E970" s="3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2"/>
      <c r="E971" s="3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2"/>
      <c r="E972" s="3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2"/>
      <c r="E973" s="3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2"/>
      <c r="E974" s="3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2"/>
      <c r="E975" s="3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2"/>
      <c r="E976" s="3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2"/>
      <c r="E977" s="3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2"/>
      <c r="E978" s="3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2"/>
      <c r="E979" s="3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2"/>
      <c r="E980" s="3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2"/>
      <c r="E981" s="3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2"/>
      <c r="E982" s="3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2"/>
      <c r="E983" s="3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2"/>
      <c r="E984" s="3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2"/>
      <c r="E985" s="3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2"/>
      <c r="E986" s="3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2"/>
      <c r="E987" s="3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2"/>
      <c r="E988" s="3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2"/>
      <c r="E989" s="3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2"/>
      <c r="E990" s="3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2"/>
      <c r="E991" s="3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2"/>
      <c r="E992" s="3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2"/>
      <c r="E993" s="3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2"/>
      <c r="E994" s="3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2"/>
      <c r="E995" s="3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2"/>
      <c r="E996" s="3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2"/>
      <c r="E997" s="3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2"/>
      <c r="E998" s="3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2"/>
      <c r="E999" s="3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2"/>
      <c r="E1000" s="3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">
      <c r="A1001" s="1"/>
      <c r="B1001" s="1"/>
      <c r="C1001" s="1"/>
      <c r="D1001" s="2"/>
      <c r="E1001" s="3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">
      <c r="A1002" s="1"/>
      <c r="B1002" s="1"/>
      <c r="C1002" s="1"/>
      <c r="D1002" s="2"/>
      <c r="E1002" s="3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">
      <c r="A1003" s="1"/>
      <c r="B1003" s="1"/>
      <c r="C1003" s="1"/>
      <c r="D1003" s="2"/>
      <c r="E1003" s="3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">
      <c r="A1004" s="1"/>
      <c r="B1004" s="1"/>
      <c r="C1004" s="1"/>
      <c r="D1004" s="2"/>
      <c r="E1004" s="3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">
      <c r="A1005" s="1"/>
      <c r="B1005" s="1"/>
      <c r="C1005" s="1"/>
      <c r="D1005" s="2"/>
      <c r="E1005" s="3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">
      <c r="A1006" s="1"/>
      <c r="B1006" s="1"/>
      <c r="C1006" s="1"/>
      <c r="D1006" s="2"/>
      <c r="E1006" s="3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">
      <c r="A1007" s="1"/>
      <c r="B1007" s="1"/>
      <c r="C1007" s="1"/>
      <c r="D1007" s="2"/>
      <c r="E1007" s="3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</sheetData>
  <mergeCells count="10">
    <mergeCell ref="B57:F57"/>
    <mergeCell ref="B61:F61"/>
    <mergeCell ref="B66:D66"/>
    <mergeCell ref="B2:G2"/>
    <mergeCell ref="C13:F13"/>
    <mergeCell ref="C23:E23"/>
    <mergeCell ref="C26:E26"/>
    <mergeCell ref="B43:F43"/>
    <mergeCell ref="B44:F44"/>
    <mergeCell ref="B56:F56"/>
  </mergeCells>
  <dataValidations count="2">
    <dataValidation type="list" allowBlank="1" showErrorMessage="1" sqref="C10:C12" xr:uid="{00000000-0002-0000-0000-000000000000}">
      <formula1>"Simple,Intermedio,Complejo"</formula1>
    </dataValidation>
    <dataValidation type="decimal" allowBlank="1" showInputMessage="1" showErrorMessage="1" prompt="Entre 1 y 9 personas." sqref="B83" xr:uid="{00000000-0002-0000-0000-000001000000}">
      <formula1>1</formula1>
      <formula2>9</formula2>
    </dataValidation>
  </dataValidations>
  <hyperlinks>
    <hyperlink ref="H30" r:id="rId1" location="v=onepage&amp;q=e7%20part-time%20members&amp;f=false" xr:uid="{00000000-0004-0000-0000-000000000000}"/>
    <hyperlink ref="H48" r:id="rId2" location="v=onepage&amp;q=e7%20part-time%20members&amp;f=false" xr:uid="{00000000-0004-0000-0000-000001000000}"/>
  </hyperlinks>
  <pageMargins left="0.75" right="0.75" top="1" bottom="1" header="0" footer="0"/>
  <pageSetup orientation="portrait"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Plantilla</vt:lpstr>
      <vt:lpstr>Plantilla!solver_opt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created xsi:type="dcterms:W3CDTF">2021-09-16T15:20:38Z</dcterms:created>
  <dcterms:modified xsi:type="dcterms:W3CDTF">2026-09-18T22:20:59Z</dcterms:modified>
</cp:coreProperties>
</file>