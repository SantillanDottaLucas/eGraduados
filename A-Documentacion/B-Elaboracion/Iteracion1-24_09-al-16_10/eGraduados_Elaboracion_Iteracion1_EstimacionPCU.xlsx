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ocuments\eGraduados\A-Documentacion\B-Elaboracion\Iteracion1-24_09-al-16_10\"/>
    </mc:Choice>
  </mc:AlternateContent>
  <xr:revisionPtr revIDLastSave="0" documentId="13_ncr:1_{066C00CD-4F47-4B7B-A8A0-1A784DB306C1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asoNormal" sheetId="1" r:id="rId1"/>
    <sheet name="CasoOptimista" sheetId="3" r:id="rId2"/>
    <sheet name="CasoPesimista" sheetId="2" r:id="rId3"/>
  </sheets>
  <definedNames>
    <definedName name="solver_eng" localSheetId="0">1</definedName>
    <definedName name="solver_eng" localSheetId="1">1</definedName>
    <definedName name="solver_eng" localSheetId="2">1</definedName>
    <definedName name="solver_neg" localSheetId="0">1</definedName>
    <definedName name="solver_neg" localSheetId="1">1</definedName>
    <definedName name="solver_neg" localSheetId="2">1</definedName>
    <definedName name="solver_num" localSheetId="0">0</definedName>
    <definedName name="solver_num" localSheetId="1">0</definedName>
    <definedName name="solver_num" localSheetId="2">0</definedName>
    <definedName name="solver_opt" localSheetId="0">CasoNormal!$D$72</definedName>
    <definedName name="solver_opt" localSheetId="1">CasoOptimista!$D$72</definedName>
    <definedName name="solver_opt" localSheetId="2">CasoPesimista!$D$72</definedName>
    <definedName name="solver_typ" localSheetId="0">1</definedName>
    <definedName name="solver_typ" localSheetId="1">1</definedName>
    <definedName name="solver_typ" localSheetId="2">1</definedName>
    <definedName name="solver_val" localSheetId="0">0</definedName>
    <definedName name="solver_val" localSheetId="1">0</definedName>
    <definedName name="solver_val" localSheetId="2">0</definedName>
    <definedName name="solver_ver" localSheetId="0">3</definedName>
    <definedName name="solver_ver" localSheetId="1">3</definedName>
    <definedName name="solver_ver" localSheetId="2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+s54X7NFLcJJ76RGdM6YaLKO1pFzKsOQgwQ7eQmZd6U="/>
    </ext>
  </extLst>
</workbook>
</file>

<file path=xl/calcChain.xml><?xml version="1.0" encoding="utf-8"?>
<calcChain xmlns="http://schemas.openxmlformats.org/spreadsheetml/2006/main">
  <c r="C87" i="3" l="1"/>
  <c r="C81" i="3"/>
  <c r="C82" i="3" s="1"/>
  <c r="G65" i="3"/>
  <c r="D72" i="3" s="1"/>
  <c r="G62" i="3"/>
  <c r="G61" i="3"/>
  <c r="G60" i="3"/>
  <c r="G59" i="3"/>
  <c r="G58" i="3"/>
  <c r="G57" i="3"/>
  <c r="G56" i="3"/>
  <c r="G55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F30" i="3" s="1"/>
  <c r="E18" i="3"/>
  <c r="E13" i="3"/>
  <c r="G13" i="3" s="1"/>
  <c r="E12" i="3"/>
  <c r="G12" i="3" s="1"/>
  <c r="E11" i="3"/>
  <c r="G11" i="3" s="1"/>
  <c r="E10" i="3"/>
  <c r="G10" i="3" s="1"/>
  <c r="C87" i="2"/>
  <c r="C88" i="2" s="1"/>
  <c r="C81" i="2"/>
  <c r="C82" i="2" s="1"/>
  <c r="G65" i="2"/>
  <c r="D72" i="2" s="1"/>
  <c r="G62" i="2"/>
  <c r="G61" i="2"/>
  <c r="G60" i="2"/>
  <c r="G59" i="2"/>
  <c r="G58" i="2"/>
  <c r="G57" i="2"/>
  <c r="G56" i="2"/>
  <c r="G55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F30" i="2" s="1"/>
  <c r="E18" i="2"/>
  <c r="E13" i="2"/>
  <c r="G13" i="2" s="1"/>
  <c r="G12" i="2"/>
  <c r="E12" i="2"/>
  <c r="E11" i="2"/>
  <c r="G11" i="2" s="1"/>
  <c r="G10" i="2"/>
  <c r="G14" i="2" s="1"/>
  <c r="E10" i="2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12" i="1"/>
  <c r="G12" i="1" s="1"/>
  <c r="C81" i="1"/>
  <c r="G63" i="3" l="1"/>
  <c r="G64" i="3" s="1"/>
  <c r="C72" i="3"/>
  <c r="G50" i="3"/>
  <c r="G51" i="3" s="1"/>
  <c r="G14" i="3"/>
  <c r="F33" i="3" s="1"/>
  <c r="C88" i="3"/>
  <c r="G63" i="2"/>
  <c r="G64" i="2" s="1"/>
  <c r="C72" i="2"/>
  <c r="G50" i="2"/>
  <c r="G51" i="2" s="1"/>
  <c r="F33" i="2"/>
  <c r="C82" i="1"/>
  <c r="C87" i="1"/>
  <c r="G65" i="1"/>
  <c r="D72" i="1" s="1"/>
  <c r="G62" i="1"/>
  <c r="G61" i="1"/>
  <c r="G60" i="1"/>
  <c r="G59" i="1"/>
  <c r="G58" i="1"/>
  <c r="G57" i="1"/>
  <c r="G56" i="1"/>
  <c r="G55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F20" i="1"/>
  <c r="E20" i="1"/>
  <c r="F19" i="1"/>
  <c r="E19" i="1"/>
  <c r="F18" i="1"/>
  <c r="E18" i="1"/>
  <c r="E13" i="1"/>
  <c r="G13" i="1" s="1"/>
  <c r="E11" i="1"/>
  <c r="G11" i="1" s="1"/>
  <c r="E10" i="1"/>
  <c r="G10" i="1" s="1"/>
  <c r="G68" i="3" l="1"/>
  <c r="C74" i="3" s="1"/>
  <c r="G68" i="2"/>
  <c r="C74" i="2" s="1"/>
  <c r="G63" i="1"/>
  <c r="G64" i="1" s="1"/>
  <c r="G14" i="1"/>
  <c r="G50" i="1"/>
  <c r="G51" i="1" s="1"/>
  <c r="F30" i="1"/>
  <c r="C88" i="1"/>
  <c r="C72" i="1"/>
  <c r="D74" i="3" l="1"/>
  <c r="F80" i="3" s="1"/>
  <c r="B74" i="3"/>
  <c r="B75" i="3" s="1"/>
  <c r="C75" i="3"/>
  <c r="E80" i="3"/>
  <c r="D74" i="2"/>
  <c r="D75" i="2" s="1"/>
  <c r="B74" i="2"/>
  <c r="D80" i="2" s="1"/>
  <c r="B75" i="2"/>
  <c r="C75" i="2"/>
  <c r="E80" i="2"/>
  <c r="F33" i="1"/>
  <c r="G68" i="1" s="1"/>
  <c r="D75" i="3" l="1"/>
  <c r="F86" i="3" s="1"/>
  <c r="D80" i="3"/>
  <c r="E81" i="3"/>
  <c r="E82" i="3" s="1"/>
  <c r="F81" i="3"/>
  <c r="F82" i="3" s="1"/>
  <c r="E87" i="3"/>
  <c r="E86" i="3"/>
  <c r="E88" i="3"/>
  <c r="C93" i="3" s="1"/>
  <c r="C96" i="3" s="1"/>
  <c r="D81" i="3"/>
  <c r="D82" i="3" s="1"/>
  <c r="D86" i="3"/>
  <c r="D87" i="3"/>
  <c r="D88" i="3"/>
  <c r="B93" i="3" s="1"/>
  <c r="B96" i="3" s="1"/>
  <c r="F80" i="2"/>
  <c r="F81" i="2" s="1"/>
  <c r="F82" i="2" s="1"/>
  <c r="E87" i="2"/>
  <c r="E86" i="2"/>
  <c r="E88" i="2"/>
  <c r="C93" i="2" s="1"/>
  <c r="C96" i="2" s="1"/>
  <c r="D87" i="2"/>
  <c r="D86" i="2"/>
  <c r="D88" i="2"/>
  <c r="B93" i="2" s="1"/>
  <c r="B96" i="2" s="1"/>
  <c r="F87" i="2"/>
  <c r="F86" i="2"/>
  <c r="F88" i="2"/>
  <c r="D93" i="2" s="1"/>
  <c r="D96" i="2" s="1"/>
  <c r="E81" i="2"/>
  <c r="E82" i="2" s="1"/>
  <c r="D81" i="2"/>
  <c r="D82" i="2" s="1"/>
  <c r="C74" i="1"/>
  <c r="B74" i="1"/>
  <c r="D74" i="1"/>
  <c r="F88" i="3" l="1"/>
  <c r="D93" i="3" s="1"/>
  <c r="D96" i="3" s="1"/>
  <c r="F87" i="3"/>
  <c r="D75" i="1"/>
  <c r="F88" i="1" s="1"/>
  <c r="D93" i="1" s="1"/>
  <c r="D96" i="1" s="1"/>
  <c r="F80" i="1"/>
  <c r="B75" i="1"/>
  <c r="D86" i="1" s="1"/>
  <c r="D80" i="1"/>
  <c r="D81" i="1" s="1"/>
  <c r="D82" i="1" s="1"/>
  <c r="C75" i="1"/>
  <c r="E80" i="1"/>
  <c r="F86" i="1" l="1"/>
  <c r="F87" i="1"/>
  <c r="E81" i="1"/>
  <c r="E82" i="1" s="1"/>
  <c r="F81" i="1"/>
  <c r="F82" i="1" s="1"/>
  <c r="E87" i="1"/>
  <c r="E86" i="1"/>
  <c r="E88" i="1"/>
  <c r="C93" i="1" s="1"/>
  <c r="C96" i="1" s="1"/>
  <c r="D87" i="1"/>
  <c r="D88" i="1"/>
  <c r="B93" i="1" s="1"/>
  <c r="B9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Usuario</author>
  </authors>
  <commentList>
    <comment ref="C9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ID#AAAA4EXGEYI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  </r>
      </text>
    </comment>
    <comment ref="C17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ID#AAAA4EXGEY0
Ejemplo    (2023-08-29 20:18:46)
contar transacciones
Flujo.Ppal.: transacciones 1, 2, 3, 4. 
Flujo Alt.: 0 transaccioines. 
Excepciones.: N/A -&gt; 0 transacciones
-&gt; suma = 4 transacciones</t>
        </r>
      </text>
    </comment>
    <comment ref="B37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ID#AAAA4EXGEXg
Autor    (2023-08-29 20:18:46)
¿Arquitectura centralizada o distribuida?</t>
        </r>
      </text>
    </comment>
    <comment ref="B3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ID#AAAA4EXGEYo
Autor    (2023-08-29 20:18:46)
¿Cuál es la importancia del tiempo de respuesta de la aplicación para el usuario final?</t>
        </r>
      </text>
    </comment>
    <comment ref="B39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ID#AAAA4EXGEX4
Autor    (2023-08-29 20:18:46)
¿La aplicacion está diseñada para que el usuario incremente SU eficiencia (no solo cumpla su cometido)?</t>
        </r>
      </text>
    </comment>
    <comment ref="B40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ID#AAAA4EXGEXQ
Autor    (2023-08-29 20:18:46)
¿La aplicación requiere de algoritmos complejos?</t>
        </r>
      </text>
    </comment>
    <comment ref="B41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ID#AAAA4EXGEYQ
Autor    (2023-08-29 20:18:46)
¿La aplicación requiere diseñarse para ser altamente reusable?</t>
        </r>
      </text>
    </comment>
    <comment ref="B42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ID#AAAA4EXGEXU
Autor    (2023-08-29 20:18:46)
¿La aplicación debe ser de fácil instalación (para usuarios sin capacidad técnica) o no?</t>
        </r>
      </text>
    </comment>
    <comment ref="B4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ID#AAAA4EXGEYY
Autor    (2023-08-29 20:18:46)
¿Hay requerimientos especiales respecto de la facilidad de uso?</t>
        </r>
      </text>
    </comment>
    <comment ref="B44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ID#AAAA4EXGEYw
Autor    (2023-08-29 20:18:46)
¿La aplicación, debe funcionar en más de una plataforma?</t>
        </r>
      </text>
    </comment>
    <comment ref="B45" authorId="0" shapeId="0" xr:uid="{00000000-0006-0000-0000-00000B000000}">
      <text>
        <r>
          <rPr>
            <sz val="10"/>
            <color rgb="FF000000"/>
            <rFont val="Arial"/>
            <scheme val="minor"/>
          </rPr>
          <t>======
ID#AAAA4EXGEYg
Autor    (2023-08-29 20:18:46)
¿El cliente requiere que la aplicación se pueda cambiar fácilmente en el futuro?</t>
        </r>
      </text>
    </comment>
    <comment ref="B46" authorId="0" shapeId="0" xr:uid="{00000000-0006-0000-0000-00000C000000}">
      <text>
        <r>
          <rPr>
            <sz val="10"/>
            <color rgb="FF000000"/>
            <rFont val="Arial"/>
            <scheme val="minor"/>
          </rPr>
          <t>======
ID#AAAA4EXGEXc
Autor    (2023-08-29 20:18:46)
¿Hace falta consideraciones especiales para el acceso concurrente (paralelo) a datos y otros recursos?</t>
        </r>
      </text>
    </comment>
    <comment ref="B47" authorId="0" shapeId="0" xr:uid="{00000000-0006-0000-0000-00000D000000}">
      <text>
        <r>
          <rPr>
            <sz val="10"/>
            <color rgb="FF000000"/>
            <rFont val="Arial"/>
            <scheme val="minor"/>
          </rPr>
          <t>======
ID#AAAA4EXGEXs
Autor    (2023-08-29 20:18:46)
¿Es suficiente con las prestaciones de seguridad normales, o hace falta algo especial?</t>
        </r>
      </text>
    </comment>
    <comment ref="B48" authorId="0" shapeId="0" xr:uid="{00000000-0006-0000-0000-00000E000000}">
      <text>
        <r>
          <rPr>
            <sz val="10"/>
            <color rgb="FF000000"/>
            <rFont val="Arial"/>
            <scheme val="minor"/>
          </rPr>
          <t>======
ID#AAAA4EXGEXk
Autor    (2023-08-29 20:18:46)
¿Nuestro código usará componentes COTS, librerías frameworks ya desarrollados? Si así fuera, reducirá la carga de trabajo de desarrollo.</t>
        </r>
      </text>
    </comment>
    <comment ref="B49" authorId="0" shapeId="0" xr:uid="{00000000-0006-0000-0000-00000F000000}">
      <text>
        <r>
          <rPr>
            <sz val="10"/>
            <color rgb="FF000000"/>
            <rFont val="Arial"/>
            <scheme val="minor"/>
          </rPr>
          <t>======
ID#AAAA4EXGEYs
Autor    (2023-08-29 20:18:46)
¿Se requiere formación específica para los Usuarios?</t>
        </r>
      </text>
    </comment>
    <comment ref="B55" authorId="0" shapeId="0" xr:uid="{00000000-0006-0000-0000-000010000000}">
      <text>
        <r>
          <rPr>
            <sz val="10"/>
            <color rgb="FF000000"/>
            <rFont val="Arial"/>
            <scheme val="minor"/>
          </rPr>
          <t>======
ID#AAAA4EXGEYU
Autor    (2023-08-29 20:18:46)
Debe reflejar el hecho de que el equipo conoce el proceso y el lenguaje de modelado (p.ej.: RUP, UML). Puede ser cualquier otro proceso.</t>
        </r>
      </text>
    </comment>
    <comment ref="B56" authorId="0" shapeId="0" xr:uid="{00000000-0006-0000-0000-000011000000}">
      <text>
        <r>
          <rPr>
            <sz val="10"/>
            <color rgb="FF000000"/>
            <rFont val="Arial"/>
            <scheme val="minor"/>
          </rPr>
          <t>======
ID#AAAA4EXGEX8
Autor    (2023-08-29 20:18:46)
¿Ya trabajado el equipo en el area (dominio) de la aplicación?</t>
        </r>
      </text>
    </comment>
    <comment ref="B57" authorId="0" shapeId="0" xr:uid="{00000000-0006-0000-0000-000012000000}">
      <text>
        <r>
          <rPr>
            <sz val="10"/>
            <color rgb="FF000000"/>
            <rFont val="Arial"/>
            <scheme val="minor"/>
          </rPr>
          <t>======
ID#AAAA4EXGEXw
Autor    (2023-08-29 20:18:46)
Se refiere exclusivamente a la experiencia en el análisis, modelado, diseño y progrmación  mediante el paradigma de OO.</t>
        </r>
      </text>
    </comment>
    <comment ref="B58" authorId="0" shapeId="0" xr:uid="{00000000-0006-0000-0000-000013000000}">
      <text>
        <r>
          <rPr>
            <sz val="10"/>
            <color rgb="FF000000"/>
            <rFont val="Arial"/>
            <scheme val="minor"/>
          </rPr>
          <t>======
ID#AAAA4EXGEXY
Autor    (2023-08-29 20:18:46)
Se refiere a la experiencia en el análisis de requerimientos y modelado orientado a objetos del Analista Principal.</t>
        </r>
      </text>
    </comment>
    <comment ref="B59" authorId="0" shapeId="0" xr:uid="{00000000-0006-0000-0000-000014000000}">
      <text>
        <r>
          <rPr>
            <sz val="10"/>
            <color rgb="FF000000"/>
            <rFont val="Arial"/>
            <scheme val="minor"/>
          </rPr>
          <t>======
ID#AAAA4EXGEXo
Autor    (2023-08-29 20:18:46)
Motivación del equipo.</t>
        </r>
      </text>
    </comment>
    <comment ref="B60" authorId="0" shapeId="0" xr:uid="{00000000-0006-0000-0000-000015000000}">
      <text>
        <r>
          <rPr>
            <sz val="10"/>
            <color rgb="FF000000"/>
            <rFont val="Arial"/>
            <scheme val="minor"/>
          </rPr>
          <t>======
ID#AAAA4EXGEY4
Autor    (2023-08-29 20:18:46)
Evalúa si los analistas han sido capaces de mantener estables los requerimientos en el pasado, minimizando los cambios del software.</t>
        </r>
      </text>
    </comment>
    <comment ref="B61" authorId="0" shapeId="0" xr:uid="{00000000-0006-0000-0000-000016000000}">
      <text>
        <r>
          <rPr>
            <sz val="10"/>
            <color rgb="FF000000"/>
            <rFont val="Arial"/>
            <scheme val="minor"/>
          </rPr>
          <t>======
ID#AAAA4EXGEYM
Autor    (2023-08-29 20:18:46)
Este es un factor con signo opuesto a los factores E6 y anteriores. Cuanto mayor la evaluación, peor el resultado.</t>
        </r>
      </text>
    </comment>
    <comment ref="B62" authorId="0" shapeId="0" xr:uid="{00000000-0006-0000-0000-000017000000}">
      <text>
        <r>
          <rPr>
            <sz val="10"/>
            <color rgb="FF000000"/>
            <rFont val="Arial"/>
            <scheme val="minor"/>
          </rPr>
          <t>======
ID#AAAA4EXGEYc
Autor    (2023-08-29 20:18:46)
Este es un factor con signo opuesto a los factores E6 y anteriores. Cuanto mayor la evaluación, peor el resultado.</t>
        </r>
      </text>
    </comment>
    <comment ref="G72" authorId="0" shapeId="0" xr:uid="{00000000-0006-0000-0000-000018000000}">
      <text>
        <r>
          <rPr>
            <sz val="10"/>
            <color rgb="FF000000"/>
            <rFont val="Arial"/>
            <scheme val="minor"/>
          </rPr>
          <t>======
ID#AAAA4EXGEYA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  </r>
      </text>
    </comment>
    <comment ref="B75" authorId="1" shapeId="0" xr:uid="{00000000-0006-0000-0000-000019000000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Para el caso clásico se contempla una dedicación promedio por integrante de 8hs diarias</t>
        </r>
      </text>
    </comment>
    <comment ref="C75" authorId="1" shapeId="0" xr:uid="{00000000-0006-0000-0000-00001A000000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Para el caso clásico se contempla una dedicación promedio por integrante de 8hs diarias</t>
        </r>
      </text>
    </comment>
    <comment ref="G75" authorId="1" shapeId="0" xr:uid="{00000000-0006-0000-0000-00001B000000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Indicar la dedicación promedio diaria por integrante REAL del equipo</t>
        </r>
      </text>
    </comment>
    <comment ref="B78" authorId="0" shapeId="0" xr:uid="{00000000-0006-0000-0000-00001C000000}">
      <text>
        <r>
          <rPr>
            <sz val="10"/>
            <color rgb="FF000000"/>
            <rFont val="Arial"/>
            <scheme val="minor"/>
          </rPr>
          <t>======
ID#AAAA4EXGEYE
Autor    (2023-08-29 20:18:46)
Esta distribución es una referencia. Proyecto a proyecto debe actualizarse mediante  ESTADISTICAS.</t>
        </r>
      </text>
    </comment>
    <comment ref="B81" authorId="0" shapeId="0" xr:uid="{00000000-0006-0000-0000-00001D000000}">
      <text>
        <r>
          <rPr>
            <sz val="10"/>
            <color rgb="FF000000"/>
            <rFont val="Arial"/>
            <scheme val="minor"/>
          </rPr>
          <t>======
ID#AAAA4EXGEYk
Autor    (2023-08-29 20:18:46)
Análisis/Diseño/Pruebas/Sobrecarga</t>
        </r>
      </text>
    </comment>
    <comment ref="B84" authorId="0" shapeId="0" xr:uid="{00000000-0006-0000-0000-00001E000000}">
      <text>
        <r>
          <rPr>
            <sz val="10"/>
            <color rgb="FF000000"/>
            <rFont val="Arial"/>
            <scheme val="minor"/>
          </rPr>
          <t>======
ID#AAAA4EXGEYE
Autor    (2023-08-29 20:18:46)
Esta distribución es una referencia. Proyecto a proyecto debe actualizarse mediante  ESTADISTICAS.</t>
        </r>
      </text>
    </comment>
    <comment ref="B87" authorId="0" shapeId="0" xr:uid="{00000000-0006-0000-0000-00001F000000}">
      <text>
        <r>
          <rPr>
            <sz val="10"/>
            <color rgb="FF000000"/>
            <rFont val="Arial"/>
            <scheme val="minor"/>
          </rPr>
          <t>======
ID#AAAA4EXGEYk
Autor    (2023-08-29 20:18:46)
Análisis/Diseño/Pruebas/Sobrecarga</t>
        </r>
      </text>
    </comment>
    <comment ref="B90" authorId="0" shapeId="0" xr:uid="{00000000-0006-0000-0000-000020000000}">
      <text>
        <r>
          <rPr>
            <sz val="10"/>
            <color rgb="FF000000"/>
            <rFont val="Arial"/>
            <scheme val="minor"/>
          </rPr>
          <t>======
ID#AAAA4EXGEX0
Autor    (2023-08-29 20:18:46)
Lo debe sugerir el estimador.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ZRtrpRPhskmwylDfdNk2hbXE5d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Usuario</author>
  </authors>
  <commentList>
    <comment ref="C9" authorId="0" shapeId="0" xr:uid="{8C1D7033-2D86-4405-9F99-A062BABBA386}">
      <text>
        <r>
          <rPr>
            <sz val="10"/>
            <color rgb="FF000000"/>
            <rFont val="Arial"/>
            <scheme val="minor"/>
          </rPr>
          <t>======
ID#AAAA4EXGEYI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  </r>
      </text>
    </comment>
    <comment ref="C17" authorId="0" shapeId="0" xr:uid="{F16DDF80-F199-4DB4-B816-3E36AC10EABD}">
      <text>
        <r>
          <rPr>
            <sz val="10"/>
            <color rgb="FF000000"/>
            <rFont val="Arial"/>
            <scheme val="minor"/>
          </rPr>
          <t>======
ID#AAAA4EXGEY0
Ejemplo    (2023-08-29 20:18:46)
contar transacciones
Flujo.Ppal.: transacciones 1, 2, 3, 4. 
Flujo Alt.: 0 transaccioines. 
Excepciones.: N/A -&gt; 0 transacciones
-&gt; suma = 4 transacciones</t>
        </r>
      </text>
    </comment>
    <comment ref="B37" authorId="0" shapeId="0" xr:uid="{52028B1E-A29D-426D-842F-982F8C634BDA}">
      <text>
        <r>
          <rPr>
            <sz val="10"/>
            <color rgb="FF000000"/>
            <rFont val="Arial"/>
            <scheme val="minor"/>
          </rPr>
          <t>======
ID#AAAA4EXGEXg
Autor    (2023-08-29 20:18:46)
¿Arquitectura centralizada o distribuida?</t>
        </r>
      </text>
    </comment>
    <comment ref="B38" authorId="0" shapeId="0" xr:uid="{EAB10F30-83F6-4A29-9917-13B3F54F50EC}">
      <text>
        <r>
          <rPr>
            <sz val="10"/>
            <color rgb="FF000000"/>
            <rFont val="Arial"/>
            <scheme val="minor"/>
          </rPr>
          <t>======
ID#AAAA4EXGEYo
Autor    (2023-08-29 20:18:46)
¿Cuál es la importancia del tiempo de respuesta de la aplicación para el usuario final?</t>
        </r>
      </text>
    </comment>
    <comment ref="B39" authorId="0" shapeId="0" xr:uid="{0252EE1F-6625-42CD-A0B7-B2EE62D96B9C}">
      <text>
        <r>
          <rPr>
            <sz val="10"/>
            <color rgb="FF000000"/>
            <rFont val="Arial"/>
            <scheme val="minor"/>
          </rPr>
          <t>======
ID#AAAA4EXGEX4
Autor    (2023-08-29 20:18:46)
¿La aplicacion está diseñada para que el usuario incremente SU eficiencia (no solo cumpla su cometido)?</t>
        </r>
      </text>
    </comment>
    <comment ref="B40" authorId="0" shapeId="0" xr:uid="{0D8E62D9-B04D-4CC7-B387-BCB400683DB6}">
      <text>
        <r>
          <rPr>
            <sz val="10"/>
            <color rgb="FF000000"/>
            <rFont val="Arial"/>
            <scheme val="minor"/>
          </rPr>
          <t>======
ID#AAAA4EXGEXQ
Autor    (2023-08-29 20:18:46)
¿La aplicación requiere de algoritmos complejos?</t>
        </r>
      </text>
    </comment>
    <comment ref="B41" authorId="0" shapeId="0" xr:uid="{7491C33F-17E0-4C2E-97EA-939F50C74F26}">
      <text>
        <r>
          <rPr>
            <sz val="10"/>
            <color rgb="FF000000"/>
            <rFont val="Arial"/>
            <scheme val="minor"/>
          </rPr>
          <t>======
ID#AAAA4EXGEYQ
Autor    (2023-08-29 20:18:46)
¿La aplicación requiere diseñarse para ser altamente reusable?</t>
        </r>
      </text>
    </comment>
    <comment ref="B42" authorId="0" shapeId="0" xr:uid="{2FB073BA-E31D-4C1E-8BDF-D1DE45D97EA6}">
      <text>
        <r>
          <rPr>
            <sz val="10"/>
            <color rgb="FF000000"/>
            <rFont val="Arial"/>
            <scheme val="minor"/>
          </rPr>
          <t>======
ID#AAAA4EXGEXU
Autor    (2023-08-29 20:18:46)
¿La aplicación debe ser de fácil instalación (para usuarios sin capacidad técnica) o no?</t>
        </r>
      </text>
    </comment>
    <comment ref="B43" authorId="0" shapeId="0" xr:uid="{DC4C02DE-B2D5-4152-9C44-395D2F95B95C}">
      <text>
        <r>
          <rPr>
            <sz val="10"/>
            <color rgb="FF000000"/>
            <rFont val="Arial"/>
            <scheme val="minor"/>
          </rPr>
          <t>======
ID#AAAA4EXGEYY
Autor    (2023-08-29 20:18:46)
¿Hay requerimientos especiales respecto de la facilidad de uso?</t>
        </r>
      </text>
    </comment>
    <comment ref="B44" authorId="0" shapeId="0" xr:uid="{B107EAA7-F6B2-4CC1-A199-B776C8A752B6}">
      <text>
        <r>
          <rPr>
            <sz val="10"/>
            <color rgb="FF000000"/>
            <rFont val="Arial"/>
            <scheme val="minor"/>
          </rPr>
          <t>======
ID#AAAA4EXGEYw
Autor    (2023-08-29 20:18:46)
¿La aplicación, debe funcionar en más de una plataforma?</t>
        </r>
      </text>
    </comment>
    <comment ref="B45" authorId="0" shapeId="0" xr:uid="{397C63E5-C496-498A-B847-6B68FF08CFB7}">
      <text>
        <r>
          <rPr>
            <sz val="10"/>
            <color rgb="FF000000"/>
            <rFont val="Arial"/>
            <scheme val="minor"/>
          </rPr>
          <t>======
ID#AAAA4EXGEYg
Autor    (2023-08-29 20:18:46)
¿El cliente requiere que la aplicación se pueda cambiar fácilmente en el futuro?</t>
        </r>
      </text>
    </comment>
    <comment ref="B46" authorId="0" shapeId="0" xr:uid="{E7EB248F-FB93-4BDE-B718-C372DCA9D403}">
      <text>
        <r>
          <rPr>
            <sz val="10"/>
            <color rgb="FF000000"/>
            <rFont val="Arial"/>
            <scheme val="minor"/>
          </rPr>
          <t>======
ID#AAAA4EXGEXc
Autor    (2023-08-29 20:18:46)
¿Hace falta consideraciones especiales para el acceso concurrente (paralelo) a datos y otros recursos?</t>
        </r>
      </text>
    </comment>
    <comment ref="B47" authorId="0" shapeId="0" xr:uid="{482538E1-4000-496B-9A11-2411BF53157A}">
      <text>
        <r>
          <rPr>
            <sz val="10"/>
            <color rgb="FF000000"/>
            <rFont val="Arial"/>
            <scheme val="minor"/>
          </rPr>
          <t>======
ID#AAAA4EXGEXs
Autor    (2023-08-29 20:18:46)
¿Es suficiente con las prestaciones de seguridad normales, o hace falta algo especial?</t>
        </r>
      </text>
    </comment>
    <comment ref="B48" authorId="0" shapeId="0" xr:uid="{EAF2688A-A408-4FEE-B138-298FDEF946B5}">
      <text>
        <r>
          <rPr>
            <sz val="10"/>
            <color rgb="FF000000"/>
            <rFont val="Arial"/>
            <scheme val="minor"/>
          </rPr>
          <t>======
ID#AAAA4EXGEXk
Autor    (2023-08-29 20:18:46)
¿Nuestro código usará componentes COTS, librerías frameworks ya desarrollados? Si así fuera, reducirá la carga de trabajo de desarrollo.</t>
        </r>
      </text>
    </comment>
    <comment ref="B49" authorId="0" shapeId="0" xr:uid="{85740131-868E-477C-95A6-7D2CF6BBD8C2}">
      <text>
        <r>
          <rPr>
            <sz val="10"/>
            <color rgb="FF000000"/>
            <rFont val="Arial"/>
            <scheme val="minor"/>
          </rPr>
          <t>======
ID#AAAA4EXGEYs
Autor    (2023-08-29 20:18:46)
¿Se requiere formación específica para los Usuarios?</t>
        </r>
      </text>
    </comment>
    <comment ref="B55" authorId="0" shapeId="0" xr:uid="{228A4037-2F25-45B2-9F56-CBB28049D6DE}">
      <text>
        <r>
          <rPr>
            <sz val="10"/>
            <color rgb="FF000000"/>
            <rFont val="Arial"/>
            <scheme val="minor"/>
          </rPr>
          <t>======
ID#AAAA4EXGEYU
Autor    (2023-08-29 20:18:46)
Debe reflejar el hecho de que el equipo conoce el proceso y el lenguaje de modelado (p.ej.: RUP, UML). Puede ser cualquier otro proceso.</t>
        </r>
      </text>
    </comment>
    <comment ref="B56" authorId="0" shapeId="0" xr:uid="{758EB175-6071-447D-B4F5-AFF4F26AEE26}">
      <text>
        <r>
          <rPr>
            <sz val="10"/>
            <color rgb="FF000000"/>
            <rFont val="Arial"/>
            <scheme val="minor"/>
          </rPr>
          <t>======
ID#AAAA4EXGEX8
Autor    (2023-08-29 20:18:46)
¿Ya trabajado el equipo en el area (dominio) de la aplicación?</t>
        </r>
      </text>
    </comment>
    <comment ref="B57" authorId="0" shapeId="0" xr:uid="{26206FFD-C7E3-47C1-86F1-34ADA319DC47}">
      <text>
        <r>
          <rPr>
            <sz val="10"/>
            <color rgb="FF000000"/>
            <rFont val="Arial"/>
            <scheme val="minor"/>
          </rPr>
          <t>======
ID#AAAA4EXGEXw
Autor    (2023-08-29 20:18:46)
Se refiere exclusivamente a la experiencia en el análisis, modelado, diseño y progrmación  mediante el paradigma de OO.</t>
        </r>
      </text>
    </comment>
    <comment ref="B58" authorId="0" shapeId="0" xr:uid="{FD4EC01B-2DF3-49F9-8A6E-BDE5702E9F76}">
      <text>
        <r>
          <rPr>
            <sz val="10"/>
            <color rgb="FF000000"/>
            <rFont val="Arial"/>
            <scheme val="minor"/>
          </rPr>
          <t>======
ID#AAAA4EXGEXY
Autor    (2023-08-29 20:18:46)
Se refiere a la experiencia en el análisis de requerimientos y modelado orientado a objetos del Analista Principal.</t>
        </r>
      </text>
    </comment>
    <comment ref="B59" authorId="0" shapeId="0" xr:uid="{DCFF6D22-72A5-408E-AE06-E325958E94B5}">
      <text>
        <r>
          <rPr>
            <sz val="10"/>
            <color rgb="FF000000"/>
            <rFont val="Arial"/>
            <scheme val="minor"/>
          </rPr>
          <t>======
ID#AAAA4EXGEXo
Autor    (2023-08-29 20:18:46)
Motivación del equipo.</t>
        </r>
      </text>
    </comment>
    <comment ref="B60" authorId="0" shapeId="0" xr:uid="{A26A7991-46AE-45E2-89CB-05CDE42DF072}">
      <text>
        <r>
          <rPr>
            <sz val="10"/>
            <color rgb="FF000000"/>
            <rFont val="Arial"/>
            <scheme val="minor"/>
          </rPr>
          <t>======
ID#AAAA4EXGEY4
Autor    (2023-08-29 20:18:46)
Evalúa si los analistas han sido capaces de mantener estables los requerimientos en el pasado, minimizando los cambios del software.</t>
        </r>
      </text>
    </comment>
    <comment ref="B61" authorId="0" shapeId="0" xr:uid="{F285BEA6-42E6-4879-B0A5-41997FD70FE5}">
      <text>
        <r>
          <rPr>
            <sz val="10"/>
            <color rgb="FF000000"/>
            <rFont val="Arial"/>
            <scheme val="minor"/>
          </rPr>
          <t>======
ID#AAAA4EXGEYM
Autor    (2023-08-29 20:18:46)
Este es un factor con signo opuesto a los factores E6 y anteriores. Cuanto mayor la evaluación, peor el resultado.</t>
        </r>
      </text>
    </comment>
    <comment ref="B62" authorId="0" shapeId="0" xr:uid="{917BFA6F-BD7C-4DA4-B8D4-D9FF60278989}">
      <text>
        <r>
          <rPr>
            <sz val="10"/>
            <color rgb="FF000000"/>
            <rFont val="Arial"/>
            <scheme val="minor"/>
          </rPr>
          <t>======
ID#AAAA4EXGEYc
Autor    (2023-08-29 20:18:46)
Este es un factor con signo opuesto a los factores E6 y anteriores. Cuanto mayor la evaluación, peor el resultado.</t>
        </r>
      </text>
    </comment>
    <comment ref="G72" authorId="0" shapeId="0" xr:uid="{F1A18E74-59CD-4FBF-9E66-0D20AC7A84B2}">
      <text>
        <r>
          <rPr>
            <sz val="10"/>
            <color rgb="FF000000"/>
            <rFont val="Arial"/>
            <scheme val="minor"/>
          </rPr>
          <t>======
ID#AAAA4EXGEYA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  </r>
      </text>
    </comment>
    <comment ref="B75" authorId="1" shapeId="0" xr:uid="{45C8840B-C786-415E-9CC1-5C728680C89A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Para el caso clásico se contempla una dedicación promedio por integrante de 8hs diarias</t>
        </r>
      </text>
    </comment>
    <comment ref="C75" authorId="1" shapeId="0" xr:uid="{4299CE8C-2768-43DE-8848-68B18F4DFE9D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Para el caso clásico se contempla una dedicación promedio por integrante de 8hs diarias</t>
        </r>
      </text>
    </comment>
    <comment ref="G75" authorId="1" shapeId="0" xr:uid="{993DC6E0-C4EE-4CFC-AF17-C5D473D6698D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Indicar la dedicación promedio diaria por integrante REAL del equipo</t>
        </r>
      </text>
    </comment>
    <comment ref="B78" authorId="0" shapeId="0" xr:uid="{60BE6BAE-BE59-4BA2-A8A5-3699997D21FA}">
      <text>
        <r>
          <rPr>
            <sz val="10"/>
            <color rgb="FF000000"/>
            <rFont val="Arial"/>
            <scheme val="minor"/>
          </rPr>
          <t>======
ID#AAAA4EXGEYE
Autor    (2023-08-29 20:18:46)
Esta distribución es una referencia. Proyecto a proyecto debe actualizarse mediante  ESTADISTICAS.</t>
        </r>
      </text>
    </comment>
    <comment ref="B81" authorId="0" shapeId="0" xr:uid="{45333EA4-14BC-4A68-8FA8-D4FB48D20BC6}">
      <text>
        <r>
          <rPr>
            <sz val="10"/>
            <color rgb="FF000000"/>
            <rFont val="Arial"/>
            <scheme val="minor"/>
          </rPr>
          <t>======
ID#AAAA4EXGEYk
Autor    (2023-08-29 20:18:46)
Análisis/Diseño/Pruebas/Sobrecarga</t>
        </r>
      </text>
    </comment>
    <comment ref="B84" authorId="0" shapeId="0" xr:uid="{351AB765-EAC1-4CF1-9AD3-35767D875AEB}">
      <text>
        <r>
          <rPr>
            <sz val="10"/>
            <color rgb="FF000000"/>
            <rFont val="Arial"/>
            <scheme val="minor"/>
          </rPr>
          <t>======
ID#AAAA4EXGEYE
Autor    (2023-08-29 20:18:46)
Esta distribución es una referencia. Proyecto a proyecto debe actualizarse mediante  ESTADISTICAS.</t>
        </r>
      </text>
    </comment>
    <comment ref="B87" authorId="0" shapeId="0" xr:uid="{95FE675B-3C27-461D-A0A2-8428FE23FF9C}">
      <text>
        <r>
          <rPr>
            <sz val="10"/>
            <color rgb="FF000000"/>
            <rFont val="Arial"/>
            <scheme val="minor"/>
          </rPr>
          <t>======
ID#AAAA4EXGEYk
Autor    (2023-08-29 20:18:46)
Análisis/Diseño/Pruebas/Sobrecarga</t>
        </r>
      </text>
    </comment>
    <comment ref="B90" authorId="0" shapeId="0" xr:uid="{A0F29707-3673-4BDE-91B0-4850BD2C66C8}">
      <text>
        <r>
          <rPr>
            <sz val="10"/>
            <color rgb="FF000000"/>
            <rFont val="Arial"/>
            <scheme val="minor"/>
          </rPr>
          <t>======
ID#AAAA4EXGEX0
Autor    (2023-08-29 20:18:46)
Lo debe sugerir el estimador.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Usuario</author>
  </authors>
  <commentList>
    <comment ref="C9" authorId="0" shapeId="0" xr:uid="{BEF5344D-42B8-4529-801A-8275558831FD}">
      <text>
        <r>
          <rPr>
            <sz val="10"/>
            <color rgb="FF000000"/>
            <rFont val="Arial"/>
            <scheme val="minor"/>
          </rPr>
          <t>======
ID#AAAA4EXGEYI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  </r>
      </text>
    </comment>
    <comment ref="C17" authorId="0" shapeId="0" xr:uid="{DBFA07CF-2A5D-4F1A-B534-9BF07949EA5F}">
      <text>
        <r>
          <rPr>
            <sz val="10"/>
            <color rgb="FF000000"/>
            <rFont val="Arial"/>
            <scheme val="minor"/>
          </rPr>
          <t>======
ID#AAAA4EXGEY0
Ejemplo    (2023-08-29 20:18:46)
contar transacciones
Flujo.Ppal.: transacciones 1, 2, 3, 4. 
Flujo Alt.: 0 transaccioines. 
Excepciones.: N/A -&gt; 0 transacciones
-&gt; suma = 4 transacciones</t>
        </r>
      </text>
    </comment>
    <comment ref="B37" authorId="0" shapeId="0" xr:uid="{878E5D55-797B-4EB5-B1BF-112FF92CF3C1}">
      <text>
        <r>
          <rPr>
            <sz val="10"/>
            <color rgb="FF000000"/>
            <rFont val="Arial"/>
            <scheme val="minor"/>
          </rPr>
          <t>======
ID#AAAA4EXGEXg
Autor    (2023-08-29 20:18:46)
¿Arquitectura centralizada o distribuida?</t>
        </r>
      </text>
    </comment>
    <comment ref="B38" authorId="0" shapeId="0" xr:uid="{6745B023-8C4F-49D8-A423-8C287C420952}">
      <text>
        <r>
          <rPr>
            <sz val="10"/>
            <color rgb="FF000000"/>
            <rFont val="Arial"/>
            <scheme val="minor"/>
          </rPr>
          <t>======
ID#AAAA4EXGEYo
Autor    (2023-08-29 20:18:46)
¿Cuál es la importancia del tiempo de respuesta de la aplicación para el usuario final?</t>
        </r>
      </text>
    </comment>
    <comment ref="B39" authorId="0" shapeId="0" xr:uid="{1C9301BA-61F1-4F19-8EB1-C295210536C7}">
      <text>
        <r>
          <rPr>
            <sz val="10"/>
            <color rgb="FF000000"/>
            <rFont val="Arial"/>
            <scheme val="minor"/>
          </rPr>
          <t>======
ID#AAAA4EXGEX4
Autor    (2023-08-29 20:18:46)
¿La aplicacion está diseñada para que el usuario incremente SU eficiencia (no solo cumpla su cometido)?</t>
        </r>
      </text>
    </comment>
    <comment ref="B40" authorId="0" shapeId="0" xr:uid="{8BFFDBBD-5FBC-401C-B386-7B72A217D33F}">
      <text>
        <r>
          <rPr>
            <sz val="10"/>
            <color rgb="FF000000"/>
            <rFont val="Arial"/>
            <scheme val="minor"/>
          </rPr>
          <t>======
ID#AAAA4EXGEXQ
Autor    (2023-08-29 20:18:46)
¿La aplicación requiere de algoritmos complejos?</t>
        </r>
      </text>
    </comment>
    <comment ref="B41" authorId="0" shapeId="0" xr:uid="{2D428777-BF4C-4502-ABBE-32D4F189E4E7}">
      <text>
        <r>
          <rPr>
            <sz val="10"/>
            <color rgb="FF000000"/>
            <rFont val="Arial"/>
            <scheme val="minor"/>
          </rPr>
          <t>======
ID#AAAA4EXGEYQ
Autor    (2023-08-29 20:18:46)
¿La aplicación requiere diseñarse para ser altamente reusable?</t>
        </r>
      </text>
    </comment>
    <comment ref="B42" authorId="0" shapeId="0" xr:uid="{81DACD34-4107-49EA-B51A-04E2E419F980}">
      <text>
        <r>
          <rPr>
            <sz val="10"/>
            <color rgb="FF000000"/>
            <rFont val="Arial"/>
            <scheme val="minor"/>
          </rPr>
          <t>======
ID#AAAA4EXGEXU
Autor    (2023-08-29 20:18:46)
¿La aplicación debe ser de fácil instalación (para usuarios sin capacidad técnica) o no?</t>
        </r>
      </text>
    </comment>
    <comment ref="B43" authorId="0" shapeId="0" xr:uid="{E06ACD98-B31E-4E5D-BB75-B6A3B8056340}">
      <text>
        <r>
          <rPr>
            <sz val="10"/>
            <color rgb="FF000000"/>
            <rFont val="Arial"/>
            <scheme val="minor"/>
          </rPr>
          <t>======
ID#AAAA4EXGEYY
Autor    (2023-08-29 20:18:46)
¿Hay requerimientos especiales respecto de la facilidad de uso?</t>
        </r>
      </text>
    </comment>
    <comment ref="B44" authorId="0" shapeId="0" xr:uid="{B17A583A-C005-43E6-8889-59D6D897003F}">
      <text>
        <r>
          <rPr>
            <sz val="10"/>
            <color rgb="FF000000"/>
            <rFont val="Arial"/>
            <scheme val="minor"/>
          </rPr>
          <t>======
ID#AAAA4EXGEYw
Autor    (2023-08-29 20:18:46)
¿La aplicación, debe funcionar en más de una plataforma?</t>
        </r>
      </text>
    </comment>
    <comment ref="B45" authorId="0" shapeId="0" xr:uid="{FCA9ABFE-98AE-4BF3-B2F6-93E5F0B31332}">
      <text>
        <r>
          <rPr>
            <sz val="10"/>
            <color rgb="FF000000"/>
            <rFont val="Arial"/>
            <scheme val="minor"/>
          </rPr>
          <t>======
ID#AAAA4EXGEYg
Autor    (2023-08-29 20:18:46)
¿El cliente requiere que la aplicación se pueda cambiar fácilmente en el futuro?</t>
        </r>
      </text>
    </comment>
    <comment ref="B46" authorId="0" shapeId="0" xr:uid="{C0A23363-A23F-4A26-B962-D959443FDF7E}">
      <text>
        <r>
          <rPr>
            <sz val="10"/>
            <color rgb="FF000000"/>
            <rFont val="Arial"/>
            <scheme val="minor"/>
          </rPr>
          <t>======
ID#AAAA4EXGEXc
Autor    (2023-08-29 20:18:46)
¿Hace falta consideraciones especiales para el acceso concurrente (paralelo) a datos y otros recursos?</t>
        </r>
      </text>
    </comment>
    <comment ref="B47" authorId="0" shapeId="0" xr:uid="{54F26844-7296-40DF-9561-11AFB49F0946}">
      <text>
        <r>
          <rPr>
            <sz val="10"/>
            <color rgb="FF000000"/>
            <rFont val="Arial"/>
            <scheme val="minor"/>
          </rPr>
          <t>======
ID#AAAA4EXGEXs
Autor    (2023-08-29 20:18:46)
¿Es suficiente con las prestaciones de seguridad normales, o hace falta algo especial?</t>
        </r>
      </text>
    </comment>
    <comment ref="B48" authorId="0" shapeId="0" xr:uid="{92477119-CB16-4CDC-B686-356B7A71F04C}">
      <text>
        <r>
          <rPr>
            <sz val="10"/>
            <color rgb="FF000000"/>
            <rFont val="Arial"/>
            <scheme val="minor"/>
          </rPr>
          <t>======
ID#AAAA4EXGEXk
Autor    (2023-08-29 20:18:46)
¿Nuestro código usará componentes COTS, librerías frameworks ya desarrollados? Si así fuera, reducirá la carga de trabajo de desarrollo.</t>
        </r>
      </text>
    </comment>
    <comment ref="B49" authorId="0" shapeId="0" xr:uid="{9DA75D1E-0D8E-496F-A706-818E7FF624DF}">
      <text>
        <r>
          <rPr>
            <sz val="10"/>
            <color rgb="FF000000"/>
            <rFont val="Arial"/>
            <scheme val="minor"/>
          </rPr>
          <t>======
ID#AAAA4EXGEYs
Autor    (2023-08-29 20:18:46)
¿Se requiere formación específica para los Usuarios?</t>
        </r>
      </text>
    </comment>
    <comment ref="B55" authorId="0" shapeId="0" xr:uid="{12C16560-B7D9-4123-BE9D-99C69DC64958}">
      <text>
        <r>
          <rPr>
            <sz val="10"/>
            <color rgb="FF000000"/>
            <rFont val="Arial"/>
            <scheme val="minor"/>
          </rPr>
          <t>======
ID#AAAA4EXGEYU
Autor    (2023-08-29 20:18:46)
Debe reflejar el hecho de que el equipo conoce el proceso y el lenguaje de modelado (p.ej.: RUP, UML). Puede ser cualquier otro proceso.</t>
        </r>
      </text>
    </comment>
    <comment ref="B56" authorId="0" shapeId="0" xr:uid="{AF8FA778-EBB3-4321-ADE6-BA613FCC7342}">
      <text>
        <r>
          <rPr>
            <sz val="10"/>
            <color rgb="FF000000"/>
            <rFont val="Arial"/>
            <scheme val="minor"/>
          </rPr>
          <t>======
ID#AAAA4EXGEX8
Autor    (2023-08-29 20:18:46)
¿Ya trabajado el equipo en el area (dominio) de la aplicación?</t>
        </r>
      </text>
    </comment>
    <comment ref="B57" authorId="0" shapeId="0" xr:uid="{943B0669-4C09-481A-A56B-2A0ABBD38072}">
      <text>
        <r>
          <rPr>
            <sz val="10"/>
            <color rgb="FF000000"/>
            <rFont val="Arial"/>
            <scheme val="minor"/>
          </rPr>
          <t>======
ID#AAAA4EXGEXw
Autor    (2023-08-29 20:18:46)
Se refiere exclusivamente a la experiencia en el análisis, modelado, diseño y progrmación  mediante el paradigma de OO.</t>
        </r>
      </text>
    </comment>
    <comment ref="B58" authorId="0" shapeId="0" xr:uid="{5163AE4E-B4AD-4AA0-8908-E81E9761EEDB}">
      <text>
        <r>
          <rPr>
            <sz val="10"/>
            <color rgb="FF000000"/>
            <rFont val="Arial"/>
            <scheme val="minor"/>
          </rPr>
          <t>======
ID#AAAA4EXGEXY
Autor    (2023-08-29 20:18:46)
Se refiere a la experiencia en el análisis de requerimientos y modelado orientado a objetos del Analista Principal.</t>
        </r>
      </text>
    </comment>
    <comment ref="B59" authorId="0" shapeId="0" xr:uid="{6344FCE9-B9DB-4590-ABC9-BF2F2FD410A6}">
      <text>
        <r>
          <rPr>
            <sz val="10"/>
            <color rgb="FF000000"/>
            <rFont val="Arial"/>
            <scheme val="minor"/>
          </rPr>
          <t>======
ID#AAAA4EXGEXo
Autor    (2023-08-29 20:18:46)
Motivación del equipo.</t>
        </r>
      </text>
    </comment>
    <comment ref="B60" authorId="0" shapeId="0" xr:uid="{E6081570-D3EA-4816-87AA-AF993E4E2B7B}">
      <text>
        <r>
          <rPr>
            <sz val="10"/>
            <color rgb="FF000000"/>
            <rFont val="Arial"/>
            <scheme val="minor"/>
          </rPr>
          <t>======
ID#AAAA4EXGEY4
Autor    (2023-08-29 20:18:46)
Evalúa si los analistas han sido capaces de mantener estables los requerimientos en el pasado, minimizando los cambios del software.</t>
        </r>
      </text>
    </comment>
    <comment ref="B61" authorId="0" shapeId="0" xr:uid="{B667CDD5-AEF4-4F77-B09E-46639239BC71}">
      <text>
        <r>
          <rPr>
            <sz val="10"/>
            <color rgb="FF000000"/>
            <rFont val="Arial"/>
            <scheme val="minor"/>
          </rPr>
          <t>======
ID#AAAA4EXGEYM
Autor    (2023-08-29 20:18:46)
Este es un factor con signo opuesto a los factores E6 y anteriores. Cuanto mayor la evaluación, peor el resultado.</t>
        </r>
      </text>
    </comment>
    <comment ref="B62" authorId="0" shapeId="0" xr:uid="{E968959B-CEEB-4CDF-887D-C011F35602FF}">
      <text>
        <r>
          <rPr>
            <sz val="10"/>
            <color rgb="FF000000"/>
            <rFont val="Arial"/>
            <scheme val="minor"/>
          </rPr>
          <t>======
ID#AAAA4EXGEYc
Autor    (2023-08-29 20:18:46)
Este es un factor con signo opuesto a los factores E6 y anteriores. Cuanto mayor la evaluación, peor el resultado.</t>
        </r>
      </text>
    </comment>
    <comment ref="G72" authorId="0" shapeId="0" xr:uid="{98328763-92FE-448B-87E3-64E3257BDA1B}">
      <text>
        <r>
          <rPr>
            <sz val="10"/>
            <color rgb="FF000000"/>
            <rFont val="Arial"/>
            <scheme val="minor"/>
          </rPr>
          <t>======
ID#AAAA4EXGEYA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  </r>
      </text>
    </comment>
    <comment ref="B75" authorId="1" shapeId="0" xr:uid="{FC1F2BA2-2AA2-4C7B-B909-2F1F0A443EC0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Para el caso clásico se contempla una dedicación promedio por integrante de 8hs diarias</t>
        </r>
      </text>
    </comment>
    <comment ref="C75" authorId="1" shapeId="0" xr:uid="{6A80CFF8-464D-4653-B418-289FA8E0FA1F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Para el caso clásico se contempla una dedicación promedio por integrante de 8hs diarias</t>
        </r>
      </text>
    </comment>
    <comment ref="G75" authorId="1" shapeId="0" xr:uid="{5E58D5A1-4F9F-4FED-A5BF-0715D3474C93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Indicar la dedicación promedio diaria por integrante REAL del equipo</t>
        </r>
      </text>
    </comment>
    <comment ref="B78" authorId="0" shapeId="0" xr:uid="{50BAECFF-654A-4164-B0F0-EFAE1C34EBC8}">
      <text>
        <r>
          <rPr>
            <sz val="10"/>
            <color rgb="FF000000"/>
            <rFont val="Arial"/>
            <scheme val="minor"/>
          </rPr>
          <t>======
ID#AAAA4EXGEYE
Autor    (2023-08-29 20:18:46)
Esta distribución es una referencia. Proyecto a proyecto debe actualizarse mediante  ESTADISTICAS.</t>
        </r>
      </text>
    </comment>
    <comment ref="B81" authorId="0" shapeId="0" xr:uid="{DAC146EA-0A82-48C0-BD6A-B3E2E6206C66}">
      <text>
        <r>
          <rPr>
            <sz val="10"/>
            <color rgb="FF000000"/>
            <rFont val="Arial"/>
            <scheme val="minor"/>
          </rPr>
          <t>======
ID#AAAA4EXGEYk
Autor    (2023-08-29 20:18:46)
Análisis/Diseño/Pruebas/Sobrecarga</t>
        </r>
      </text>
    </comment>
    <comment ref="B84" authorId="0" shapeId="0" xr:uid="{EA024E40-8607-4065-A9F1-23EEA91B227F}">
      <text>
        <r>
          <rPr>
            <sz val="10"/>
            <color rgb="FF000000"/>
            <rFont val="Arial"/>
            <scheme val="minor"/>
          </rPr>
          <t>======
ID#AAAA4EXGEYE
Autor    (2023-08-29 20:18:46)
Esta distribución es una referencia. Proyecto a proyecto debe actualizarse mediante  ESTADISTICAS.</t>
        </r>
      </text>
    </comment>
    <comment ref="B87" authorId="0" shapeId="0" xr:uid="{A87E882B-F8D9-41B3-BF0B-F32F22DD2B9B}">
      <text>
        <r>
          <rPr>
            <sz val="10"/>
            <color rgb="FF000000"/>
            <rFont val="Arial"/>
            <scheme val="minor"/>
          </rPr>
          <t>======
ID#AAAA4EXGEYk
Autor    (2023-08-29 20:18:46)
Análisis/Diseño/Pruebas/Sobrecarga</t>
        </r>
      </text>
    </comment>
    <comment ref="B90" authorId="0" shapeId="0" xr:uid="{AC9B7CC6-9C84-4862-B779-D12F1A77D7F5}">
      <text>
        <r>
          <rPr>
            <sz val="10"/>
            <color rgb="FF000000"/>
            <rFont val="Arial"/>
            <scheme val="minor"/>
          </rPr>
          <t>======
ID#AAAA4EXGEX0
Autor    (2023-08-29 20:18:46)
Lo debe sugerir el estimador.</t>
        </r>
      </text>
    </comment>
  </commentList>
</comments>
</file>

<file path=xl/sharedStrings.xml><?xml version="1.0" encoding="utf-8"?>
<sst xmlns="http://schemas.openxmlformats.org/spreadsheetml/2006/main" count="525" uniqueCount="140">
  <si>
    <t>ESTIMACIÓN por PUNTOS de CASO de USO</t>
  </si>
  <si>
    <t>Proyecto:</t>
  </si>
  <si>
    <t>Gestor de Proyecto:</t>
  </si>
  <si>
    <t>1. PESO DE LOS ACTORES</t>
  </si>
  <si>
    <t>Actor</t>
  </si>
  <si>
    <t>Factor de Peso Actores</t>
  </si>
  <si>
    <t>Descripción</t>
  </si>
  <si>
    <t>Peso</t>
  </si>
  <si>
    <t>Número actores</t>
  </si>
  <si>
    <t>Valor ponderado</t>
  </si>
  <si>
    <t>Complejo</t>
  </si>
  <si>
    <t>Intermedio</t>
  </si>
  <si>
    <t>Simple</t>
  </si>
  <si>
    <t xml:space="preserve">Peso Total Actores, sin ajustar (UAW) </t>
  </si>
  <si>
    <t>2. PESO DE LOS CU</t>
  </si>
  <si>
    <t>Casos de Uso</t>
  </si>
  <si>
    <t>Comentario</t>
  </si>
  <si>
    <t>Número de transacciones</t>
  </si>
  <si>
    <t>Complejidad</t>
  </si>
  <si>
    <t xml:space="preserve">Peso Total CU, sin ajustar (UUCW) </t>
  </si>
  <si>
    <t>3. PCU SIN AJUSTE</t>
  </si>
  <si>
    <r>
      <rPr>
        <b/>
        <sz val="12"/>
        <color theme="1"/>
        <rFont val="Calibri"/>
        <family val="2"/>
      </rPr>
      <t xml:space="preserve">Puntos de CU No Ajustados: </t>
    </r>
    <r>
      <rPr>
        <b/>
        <sz val="12"/>
        <color rgb="FFFF0000"/>
        <rFont val="Calibri"/>
        <family val="2"/>
      </rPr>
      <t>UUCP = UAW + UUCW</t>
    </r>
  </si>
  <si>
    <t>4. COMPLEJIDAD TECNICA</t>
  </si>
  <si>
    <t>Factores de Peso Técnicos</t>
  </si>
  <si>
    <t>Escala de asignación</t>
  </si>
  <si>
    <t>Características especiales</t>
  </si>
  <si>
    <t>Evaluación</t>
  </si>
  <si>
    <t>Impacto</t>
  </si>
  <si>
    <t>Ver 4.2 Use Case Point Analysis e11</t>
  </si>
  <si>
    <t>T1  Sistema Distribuido</t>
  </si>
  <si>
    <t>0=no importante  5=esencial</t>
  </si>
  <si>
    <t>Object-Oriented Analysis and Design for Information Systems: Modeling with UML, OCL, and IFML</t>
  </si>
  <si>
    <t>T2  Objetivos de Desempeño o Tiempo de Respuesta</t>
  </si>
  <si>
    <t>T3  Eficiencia Usuario Final</t>
  </si>
  <si>
    <t>T4  Procesamiento Interno Complejo</t>
  </si>
  <si>
    <t>T5  Código Debe Ser Reusable</t>
  </si>
  <si>
    <t>T6  Facilidad de Instalación</t>
  </si>
  <si>
    <t>T7  Facilidad de Uso</t>
  </si>
  <si>
    <t>T8  Portabilidad</t>
  </si>
  <si>
    <t>T9  Facilidad de Cambio</t>
  </si>
  <si>
    <t>T10 Concurrencia</t>
  </si>
  <si>
    <t>T11 Incluye Características Especiales de Seguridad</t>
  </si>
  <si>
    <t>T12 Acceso Directo a Código de Terceros</t>
  </si>
  <si>
    <t>T13 Necesidades de formación para los Usuarios</t>
  </si>
  <si>
    <r>
      <rPr>
        <b/>
        <sz val="12"/>
        <color theme="1"/>
        <rFont val="Calibri"/>
        <family val="2"/>
      </rPr>
      <t xml:space="preserve">Factores Técnicos: TF = </t>
    </r>
    <r>
      <rPr>
        <b/>
        <sz val="12"/>
        <color theme="1"/>
        <rFont val="Calibri"/>
        <family val="2"/>
      </rPr>
      <t xml:space="preserve">∑ </t>
    </r>
    <r>
      <rPr>
        <b/>
        <sz val="12"/>
        <color theme="1"/>
        <rFont val="Calibri"/>
        <family val="2"/>
      </rPr>
      <t xml:space="preserve">(Peso * Evaluacion ) </t>
    </r>
  </si>
  <si>
    <r>
      <rPr>
        <b/>
        <sz val="12"/>
        <color theme="1"/>
        <rFont val="Calibri"/>
        <family val="2"/>
      </rPr>
      <t xml:space="preserve">Factor de Complejidad Técnica:  </t>
    </r>
    <r>
      <rPr>
        <b/>
        <sz val="12"/>
        <color rgb="FFFF0000"/>
        <rFont val="Calibri"/>
        <family val="2"/>
      </rPr>
      <t xml:space="preserve">TCF = 0,06 + 0,01*TC </t>
    </r>
  </si>
  <si>
    <t>5. FACTORES DEL ENTORNO</t>
  </si>
  <si>
    <t>Factores de Peso Ambientales del Equipo</t>
  </si>
  <si>
    <t>Escala de 0 a 5</t>
  </si>
  <si>
    <t>Razón</t>
  </si>
  <si>
    <t>Ver 4.2 Use Case Point Analysis e17</t>
  </si>
  <si>
    <t>E1 Familiaridad con un Proceso Definido</t>
  </si>
  <si>
    <t>0 = sin experiencia, 3=media, 5=experto</t>
  </si>
  <si>
    <t>E2 Experiencia en el Dominio de Aplicación</t>
  </si>
  <si>
    <t>E3 Experiencia en Orientación a Objetos</t>
  </si>
  <si>
    <t>E4 Capacidad de Liderazgo del  Analista Principal</t>
  </si>
  <si>
    <t>E5 Motivación</t>
  </si>
  <si>
    <t>0=sin, 3=media, 5=alta</t>
  </si>
  <si>
    <t>E6 Requerimientos Estables</t>
  </si>
  <si>
    <t>0=extremadamente inestable, 5=no cambian</t>
  </si>
  <si>
    <t>E7 Miembros a Tiempo Parcial</t>
  </si>
  <si>
    <t>0=0% tiempo parcial, 1=h/10% t. parcial, 2=h/20% t. parcial, 3=h/40% t. parcial, 4=h/60% t. parcial, 5= más de 60% t. parcial</t>
  </si>
  <si>
    <t>E8 Dificultad con el lenguaje de Programación</t>
  </si>
  <si>
    <t>0=todos miembros muy experimentados. 1= Mayoría +2años experiencia. 2. Todos +18 meses experiencia 3. Mayoría +18 meses experiencia 4. Pocos hasta 1 año experiencia 5. Ninguno experiencia</t>
  </si>
  <si>
    <t xml:space="preserve">Factores Ambientales: EF = ∑ (Peso * Evaluacion ) </t>
  </si>
  <si>
    <r>
      <rPr>
        <b/>
        <sz val="12"/>
        <color theme="1"/>
        <rFont val="Calibri"/>
        <family val="2"/>
      </rPr>
      <t xml:space="preserve">Factor de Complejidad Ambiental: </t>
    </r>
    <r>
      <rPr>
        <b/>
        <sz val="12"/>
        <color rgb="FFFF0000"/>
        <rFont val="Calibri"/>
        <family val="2"/>
      </rPr>
      <t>ECF = 1.4 + (-0.03*EF)</t>
    </r>
  </si>
  <si>
    <t>FPA desfavorables</t>
  </si>
  <si>
    <t>6. PCU AJUSTADOS</t>
  </si>
  <si>
    <r>
      <rPr>
        <b/>
        <sz val="12"/>
        <color theme="1"/>
        <rFont val="Calibri"/>
        <family val="2"/>
      </rPr>
      <t xml:space="preserve">Puntos de Casos de Uso Ajustados: AUCP = </t>
    </r>
    <r>
      <rPr>
        <b/>
        <sz val="12"/>
        <color rgb="FFFF0000"/>
        <rFont val="Calibri"/>
        <family val="2"/>
      </rPr>
      <t>UUCP * TCF * ECF</t>
    </r>
  </si>
  <si>
    <t>7. ESFUERZO CODIFICACION</t>
  </si>
  <si>
    <t>h-h / AUCP: Karner</t>
  </si>
  <si>
    <t>h-h / AUCP: Schneider &amp; Winters</t>
  </si>
  <si>
    <t>h-h / AUCP: Estadística propia</t>
  </si>
  <si>
    <t>h-h/UCP: Velocidad propia</t>
  </si>
  <si>
    <t>Esfuerzo</t>
  </si>
  <si>
    <t>Esfuerzo (h-h)</t>
  </si>
  <si>
    <t>Esfuerzo (mes-h)</t>
  </si>
  <si>
    <t>Actividad</t>
  </si>
  <si>
    <t>Porcentaje</t>
  </si>
  <si>
    <t>Karner
(m-h)</t>
  </si>
  <si>
    <t>Sch&amp;Win
(m-h)</t>
  </si>
  <si>
    <t>Propia
(m-h)</t>
  </si>
  <si>
    <t>Codificación</t>
  </si>
  <si>
    <t>Actividades restantes</t>
  </si>
  <si>
    <t>9. NUMERO PERSONAS</t>
  </si>
  <si>
    <t>10. DURACION PROYECTO</t>
  </si>
  <si>
    <t>Karner
(m)</t>
  </si>
  <si>
    <t>Sch&amp;Win
(m)</t>
  </si>
  <si>
    <t>Propia
(m)</t>
  </si>
  <si>
    <t>Dedicación Diaria (hs)</t>
  </si>
  <si>
    <t>Distribución Esfuerzo por Tarea (expresado en m-h)</t>
  </si>
  <si>
    <t>8a. ESFUERZO TOTAL</t>
  </si>
  <si>
    <t>8b. ESFUERZO TOTAL</t>
  </si>
  <si>
    <t>Distribución Esfuerzo por Tarea (expresado en h-h)</t>
  </si>
  <si>
    <t>Karner
(h-h)</t>
  </si>
  <si>
    <t>Sch&amp;Win
(h-h)</t>
  </si>
  <si>
    <t>Propia
(h-h)</t>
  </si>
  <si>
    <t>FECHA FINALIZACIÓN</t>
  </si>
  <si>
    <t>11. FECHA ESTIMACIÓN</t>
  </si>
  <si>
    <t>Iteración</t>
  </si>
  <si>
    <t>Fecha de estimación</t>
  </si>
  <si>
    <t>eGradudos</t>
  </si>
  <si>
    <t>SantillánDotta Lucas Tiziano</t>
  </si>
  <si>
    <t>BBDD</t>
  </si>
  <si>
    <t>Usuario principal (Departamento de Títulos y Secretaría Académica)</t>
  </si>
  <si>
    <t>BBDD en la que se almacena los datos</t>
  </si>
  <si>
    <t>Framework UARGFlow para login de usuarios</t>
  </si>
  <si>
    <t>UARGFlow</t>
  </si>
  <si>
    <t>teamo</t>
  </si>
  <si>
    <t>yomasmiamor</t>
  </si>
  <si>
    <t>Usuario estándar</t>
  </si>
  <si>
    <t>Usuario anónimo</t>
  </si>
  <si>
    <t>Usuario anónimo que puede acceder al módulo de estadística</t>
  </si>
  <si>
    <t>CU1:  Crear analíticos</t>
  </si>
  <si>
    <t>CU2: Descargar listado de graduados</t>
  </si>
  <si>
    <t>CU3: Consultar auditoría</t>
  </si>
  <si>
    <t>CU4:Buscar graduado</t>
  </si>
  <si>
    <t>CU5: Gestionar graduado</t>
  </si>
  <si>
    <t>CU06: Consultar tablero de estadística</t>
  </si>
  <si>
    <t>CU07: Parametrizar estadística</t>
  </si>
  <si>
    <t>CU08: Gestionar graduados con baja lógica</t>
  </si>
  <si>
    <t>CU09: Cargar listado</t>
  </si>
  <si>
    <t>CU10: Gestionar carrera</t>
  </si>
  <si>
    <t>CU11: Gestionar escuela</t>
  </si>
  <si>
    <t>CU12: Generar título en trámite</t>
  </si>
  <si>
    <t>No es necesario</t>
  </si>
  <si>
    <t>Relevante</t>
  </si>
  <si>
    <t>No necesariamente</t>
  </si>
  <si>
    <t>Utiliza entorno web</t>
  </si>
  <si>
    <t>Característica relevante</t>
  </si>
  <si>
    <t>No es un sistema con alta concurrencia</t>
  </si>
  <si>
    <t>Estándar</t>
  </si>
  <si>
    <t>Altamente estables</t>
  </si>
  <si>
    <t>Un solo miembro a tiempo parcial</t>
  </si>
  <si>
    <t>Equipo sin experiencia</t>
  </si>
  <si>
    <t>Familiaridad aceptable</t>
  </si>
  <si>
    <t>Sin experiencia</t>
  </si>
  <si>
    <t>Experiencia aceptable</t>
  </si>
  <si>
    <t>Sin equipo, no es necesario</t>
  </si>
  <si>
    <t>Elaboracion - Iteración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</si>
</sst>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5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0"/>
      <name val="Arial"/>
      <family val="2"/>
    </font>
    <font>
      <b/>
      <sz val="12"/>
      <color theme="1"/>
      <name val="Calibri"/>
      <family val="2"/>
    </font>
    <font>
      <sz val="12"/>
      <color rgb="FF3F3F76"/>
      <name val="Calibri"/>
      <family val="2"/>
    </font>
    <font>
      <b/>
      <sz val="12"/>
      <color rgb="FFFA7D00"/>
      <name val="Calibri"/>
      <family val="2"/>
    </font>
    <font>
      <b/>
      <sz val="12"/>
      <color rgb="FF3F3F3F"/>
      <name val="Calibri"/>
      <family val="2"/>
    </font>
    <font>
      <u/>
      <sz val="10"/>
      <color theme="10"/>
      <name val="Arial"/>
      <family val="2"/>
    </font>
    <font>
      <b/>
      <sz val="11"/>
      <color rgb="FFFA7D00"/>
      <name val="Calibri"/>
      <family val="2"/>
    </font>
    <font>
      <b/>
      <sz val="12"/>
      <color rgb="FF002060"/>
      <name val="Calibri"/>
      <family val="2"/>
    </font>
    <font>
      <b/>
      <sz val="12"/>
      <color rgb="FFFF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rgb="FFFFCC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rgb="FFD8D8D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CC9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4.9989318521683403E-2"/>
        <bgColor rgb="FFFFCC99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2" borderId="9" xfId="0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vertical="center"/>
    </xf>
    <xf numFmtId="49" fontId="5" fillId="3" borderId="9" xfId="0" applyNumberFormat="1" applyFont="1" applyFill="1" applyBorder="1" applyAlignment="1">
      <alignment vertical="center"/>
    </xf>
    <xf numFmtId="0" fontId="5" fillId="3" borderId="9" xfId="0" applyFont="1" applyFill="1" applyBorder="1" applyAlignment="1">
      <alignment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 wrapText="1"/>
    </xf>
    <xf numFmtId="0" fontId="7" fillId="4" borderId="9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49" fontId="4" fillId="0" borderId="0" xfId="0" applyNumberFormat="1" applyFont="1" applyAlignment="1">
      <alignment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vertical="center"/>
    </xf>
    <xf numFmtId="0" fontId="5" fillId="3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vertical="center" wrapText="1"/>
    </xf>
    <xf numFmtId="49" fontId="1" fillId="0" borderId="9" xfId="0" applyNumberFormat="1" applyFont="1" applyBorder="1" applyAlignment="1">
      <alignment vertical="center" wrapText="1"/>
    </xf>
    <xf numFmtId="49" fontId="5" fillId="3" borderId="9" xfId="0" applyNumberFormat="1" applyFont="1" applyFill="1" applyBorder="1" applyAlignment="1">
      <alignment horizontal="left" vertical="center"/>
    </xf>
    <xf numFmtId="49" fontId="1" fillId="4" borderId="9" xfId="0" applyNumberFormat="1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9" fillId="4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49" fontId="1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/>
    </xf>
    <xf numFmtId="164" fontId="4" fillId="2" borderId="9" xfId="0" applyNumberFormat="1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vertical="center" wrapText="1"/>
    </xf>
    <xf numFmtId="164" fontId="1" fillId="2" borderId="9" xfId="0" applyNumberFormat="1" applyFont="1" applyFill="1" applyBorder="1" applyAlignment="1">
      <alignment horizontal="center" vertical="center"/>
    </xf>
    <xf numFmtId="164" fontId="5" fillId="3" borderId="9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64" fontId="4" fillId="2" borderId="9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right" vertical="center" wrapText="1"/>
    </xf>
    <xf numFmtId="2" fontId="4" fillId="0" borderId="0" xfId="0" applyNumberFormat="1" applyFont="1" applyAlignment="1">
      <alignment vertical="center" wrapText="1"/>
    </xf>
    <xf numFmtId="14" fontId="5" fillId="3" borderId="9" xfId="0" applyNumberFormat="1" applyFont="1" applyFill="1" applyBorder="1" applyAlignment="1">
      <alignment horizontal="center" vertical="center" wrapText="1"/>
    </xf>
    <xf numFmtId="14" fontId="5" fillId="6" borderId="9" xfId="0" applyNumberFormat="1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7" borderId="14" xfId="0" applyFont="1" applyFill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left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2" fontId="1" fillId="8" borderId="9" xfId="0" applyNumberFormat="1" applyFont="1" applyFill="1" applyBorder="1" applyAlignment="1">
      <alignment horizontal="center" vertical="center"/>
    </xf>
    <xf numFmtId="164" fontId="1" fillId="8" borderId="9" xfId="0" applyNumberFormat="1" applyFont="1" applyFill="1" applyBorder="1" applyAlignment="1">
      <alignment horizontal="center" vertical="center"/>
    </xf>
    <xf numFmtId="165" fontId="4" fillId="8" borderId="9" xfId="0" applyNumberFormat="1" applyFont="1" applyFill="1" applyBorder="1" applyAlignment="1">
      <alignment horizontal="center" vertical="center"/>
    </xf>
    <xf numFmtId="164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/>
    </xf>
    <xf numFmtId="49" fontId="4" fillId="8" borderId="9" xfId="0" applyNumberFormat="1" applyFont="1" applyFill="1" applyBorder="1" applyAlignment="1">
      <alignment horizontal="center" vertical="center" wrapText="1"/>
    </xf>
    <xf numFmtId="164" fontId="1" fillId="9" borderId="9" xfId="0" applyNumberFormat="1" applyFont="1" applyFill="1" applyBorder="1" applyAlignment="1">
      <alignment horizontal="center" vertical="center" wrapText="1"/>
    </xf>
    <xf numFmtId="14" fontId="5" fillId="10" borderId="9" xfId="0" applyNumberFormat="1" applyFont="1" applyFill="1" applyBorder="1" applyAlignment="1">
      <alignment horizontal="center" vertical="center" wrapText="1"/>
    </xf>
    <xf numFmtId="0" fontId="4" fillId="11" borderId="0" xfId="0" applyFont="1" applyFill="1" applyAlignment="1">
      <alignment vertical="center"/>
    </xf>
    <xf numFmtId="0" fontId="4" fillId="11" borderId="13" xfId="0" applyFont="1" applyFill="1" applyBorder="1" applyAlignment="1">
      <alignment vertical="center"/>
    </xf>
    <xf numFmtId="0" fontId="4" fillId="11" borderId="15" xfId="0" applyFont="1" applyFill="1" applyBorder="1" applyAlignment="1">
      <alignment vertical="center"/>
    </xf>
    <xf numFmtId="9" fontId="14" fillId="12" borderId="9" xfId="0" applyNumberFormat="1" applyFont="1" applyFill="1" applyBorder="1" applyAlignment="1">
      <alignment horizontal="center" vertical="center" wrapText="1"/>
    </xf>
    <xf numFmtId="14" fontId="4" fillId="11" borderId="18" xfId="0" applyNumberFormat="1" applyFont="1" applyFill="1" applyBorder="1" applyAlignment="1">
      <alignment vertical="center"/>
    </xf>
    <xf numFmtId="0" fontId="5" fillId="3" borderId="11" xfId="0" applyFont="1" applyFill="1" applyBorder="1" applyAlignment="1">
      <alignment vertical="center"/>
    </xf>
    <xf numFmtId="0" fontId="5" fillId="3" borderId="1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right" vertical="center" wrapText="1"/>
    </xf>
    <xf numFmtId="49" fontId="4" fillId="0" borderId="2" xfId="0" applyNumberFormat="1" applyFont="1" applyBorder="1" applyAlignment="1">
      <alignment horizontal="right" vertical="center" wrapText="1"/>
    </xf>
    <xf numFmtId="49" fontId="4" fillId="0" borderId="3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49" fontId="4" fillId="0" borderId="6" xfId="0" applyNumberFormat="1" applyFont="1" applyBorder="1" applyAlignment="1">
      <alignment horizontal="right" vertical="center" wrapText="1"/>
    </xf>
    <xf numFmtId="0" fontId="3" fillId="0" borderId="7" xfId="0" applyFont="1" applyBorder="1"/>
    <xf numFmtId="0" fontId="3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4"/>
  <sheetViews>
    <sheetView topLeftCell="A86" zoomScale="70" zoomScaleNormal="70" workbookViewId="0">
      <selection activeCell="A95" sqref="A95"/>
    </sheetView>
  </sheetViews>
  <sheetFormatPr baseColWidth="10" defaultColWidth="12.5703125" defaultRowHeight="15" customHeight="1" x14ac:dyDescent="0.2"/>
  <cols>
    <col min="1" max="1" width="27.7109375" customWidth="1"/>
    <col min="2" max="2" width="52.5703125" bestFit="1" customWidth="1"/>
    <col min="3" max="3" width="35.42578125" customWidth="1"/>
    <col min="4" max="4" width="38.5703125" customWidth="1"/>
    <col min="5" max="5" width="13.5703125" customWidth="1"/>
    <col min="6" max="6" width="16.140625" customWidth="1"/>
    <col min="7" max="7" width="16.7109375" customWidth="1"/>
    <col min="8" max="8" width="34.42578125" customWidth="1"/>
    <col min="9" max="9" width="10.5703125" customWidth="1"/>
    <col min="10" max="10" width="13.7109375" customWidth="1"/>
    <col min="11" max="26" width="9.140625" customWidth="1"/>
  </cols>
  <sheetData>
    <row r="1" spans="1:26" ht="27.75" customHeight="1" x14ac:dyDescent="0.2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 x14ac:dyDescent="0.2">
      <c r="A2" s="4"/>
      <c r="B2" s="93" t="s">
        <v>0</v>
      </c>
      <c r="C2" s="94"/>
      <c r="D2" s="94"/>
      <c r="E2" s="94"/>
      <c r="F2" s="94"/>
      <c r="G2" s="95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7.75" customHeight="1" x14ac:dyDescent="0.2">
      <c r="A3" s="4"/>
      <c r="B3" s="61" t="s">
        <v>1</v>
      </c>
      <c r="C3" s="77" t="s">
        <v>101</v>
      </c>
      <c r="D3" s="6"/>
      <c r="E3" s="6"/>
      <c r="F3" s="6"/>
      <c r="G3" s="7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.75" customHeight="1" x14ac:dyDescent="0.2">
      <c r="A4" s="4"/>
      <c r="B4" s="61" t="s">
        <v>2</v>
      </c>
      <c r="C4" s="78" t="s">
        <v>102</v>
      </c>
      <c r="D4" s="62"/>
      <c r="E4" s="62"/>
      <c r="F4" s="62"/>
      <c r="G4" s="7"/>
      <c r="H4" s="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7.75" customHeight="1" x14ac:dyDescent="0.2">
      <c r="A5" s="4"/>
      <c r="B5" s="63" t="s">
        <v>99</v>
      </c>
      <c r="C5" s="79" t="s">
        <v>139</v>
      </c>
      <c r="D5" s="64"/>
      <c r="E5" s="64"/>
      <c r="F5" s="64"/>
      <c r="G5" s="65"/>
      <c r="H5" s="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7.75" customHeight="1" x14ac:dyDescent="0.2">
      <c r="A6" s="4"/>
      <c r="B6" s="66" t="s">
        <v>100</v>
      </c>
      <c r="C6" s="81">
        <v>46289</v>
      </c>
      <c r="D6" s="67"/>
      <c r="E6" s="67"/>
      <c r="F6" s="67"/>
      <c r="G6" s="68"/>
      <c r="H6" s="6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7.75" customHeight="1" x14ac:dyDescent="0.2">
      <c r="A7" s="1"/>
      <c r="B7" s="8"/>
      <c r="C7" s="1"/>
      <c r="D7" s="9"/>
      <c r="E7" s="9"/>
      <c r="F7" s="9"/>
      <c r="G7" s="9"/>
      <c r="H7" s="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75" customHeight="1" x14ac:dyDescent="0.2">
      <c r="A8" s="1"/>
      <c r="B8" s="1"/>
      <c r="C8" s="1"/>
      <c r="D8" s="2"/>
      <c r="E8" s="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0" t="s">
        <v>3</v>
      </c>
      <c r="B9" s="11" t="s">
        <v>4</v>
      </c>
      <c r="C9" s="12" t="s">
        <v>5</v>
      </c>
      <c r="D9" s="12" t="s">
        <v>6</v>
      </c>
      <c r="E9" s="11" t="s">
        <v>7</v>
      </c>
      <c r="F9" s="11" t="s">
        <v>8</v>
      </c>
      <c r="G9" s="11" t="s">
        <v>9</v>
      </c>
      <c r="H9" s="9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7.75" customHeight="1" x14ac:dyDescent="0.2">
      <c r="A10" s="1"/>
      <c r="B10" s="13" t="s">
        <v>110</v>
      </c>
      <c r="C10" s="14" t="s">
        <v>10</v>
      </c>
      <c r="D10" s="15" t="s">
        <v>104</v>
      </c>
      <c r="E10" s="16">
        <f t="shared" ref="E10:E13" si="0">IF(C10="Simple",1,IF(C10="Intermedio",2,IF(C10="Complejo",3,"error")))</f>
        <v>3</v>
      </c>
      <c r="F10" s="17">
        <v>1</v>
      </c>
      <c r="G10" s="16">
        <f t="shared" ref="G10:G13" si="1">E10*F10</f>
        <v>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75" customHeight="1" x14ac:dyDescent="0.2">
      <c r="A11" s="1"/>
      <c r="B11" s="13" t="s">
        <v>103</v>
      </c>
      <c r="C11" s="14" t="s">
        <v>11</v>
      </c>
      <c r="D11" s="15" t="s">
        <v>105</v>
      </c>
      <c r="E11" s="16">
        <f t="shared" si="0"/>
        <v>2</v>
      </c>
      <c r="F11" s="17">
        <v>1</v>
      </c>
      <c r="G11" s="16">
        <f t="shared" si="1"/>
        <v>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 x14ac:dyDescent="0.2">
      <c r="A12" s="1"/>
      <c r="B12" s="13" t="s">
        <v>111</v>
      </c>
      <c r="C12" s="14" t="s">
        <v>10</v>
      </c>
      <c r="D12" s="15" t="s">
        <v>112</v>
      </c>
      <c r="E12" s="16">
        <f t="shared" ref="E12" si="2">IF(C12="Simple",1,IF(C12="Intermedio",2,IF(C12="Complejo",3,"error")))</f>
        <v>3</v>
      </c>
      <c r="F12" s="17">
        <v>2</v>
      </c>
      <c r="G12" s="16">
        <f t="shared" ref="G12" si="3">E12*F12</f>
        <v>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75" customHeight="1" x14ac:dyDescent="0.2">
      <c r="A13" s="1"/>
      <c r="B13" s="13" t="s">
        <v>107</v>
      </c>
      <c r="C13" s="14" t="s">
        <v>12</v>
      </c>
      <c r="D13" s="15" t="s">
        <v>106</v>
      </c>
      <c r="E13" s="16">
        <f t="shared" si="0"/>
        <v>1</v>
      </c>
      <c r="F13" s="17">
        <v>1</v>
      </c>
      <c r="G13" s="16">
        <f t="shared" si="1"/>
        <v>1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75" customHeight="1" x14ac:dyDescent="0.2">
      <c r="A14" s="1"/>
      <c r="B14" s="18"/>
      <c r="C14" s="84" t="s">
        <v>13</v>
      </c>
      <c r="D14" s="94"/>
      <c r="E14" s="94"/>
      <c r="F14" s="95"/>
      <c r="G14" s="20">
        <f>SUM(G10:G13)</f>
        <v>12</v>
      </c>
      <c r="H14" s="1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75" customHeight="1" x14ac:dyDescent="0.2">
      <c r="A15" s="1"/>
      <c r="B15" s="10"/>
      <c r="C15" s="21"/>
      <c r="D15" s="3"/>
      <c r="E15" s="3"/>
      <c r="F15" s="3"/>
      <c r="G15" s="22"/>
      <c r="H15" s="1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.75" customHeight="1" x14ac:dyDescent="0.2">
      <c r="A16" s="10" t="s">
        <v>14</v>
      </c>
      <c r="B16" s="10" t="s">
        <v>108</v>
      </c>
      <c r="C16" s="23" t="s">
        <v>109</v>
      </c>
      <c r="D16" s="23"/>
      <c r="E16" s="24"/>
      <c r="F16" s="10"/>
      <c r="G16" s="10"/>
      <c r="H16" s="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25"/>
      <c r="U16" s="1"/>
      <c r="V16" s="1"/>
      <c r="W16" s="1"/>
      <c r="X16" s="1"/>
      <c r="Y16" s="1"/>
      <c r="Z16" s="1"/>
    </row>
    <row r="17" spans="1:26" ht="27.75" customHeight="1" x14ac:dyDescent="0.2">
      <c r="A17" s="1"/>
      <c r="B17" s="11" t="s">
        <v>15</v>
      </c>
      <c r="C17" s="11" t="s">
        <v>16</v>
      </c>
      <c r="D17" s="12" t="s">
        <v>17</v>
      </c>
      <c r="E17" s="12" t="s">
        <v>18</v>
      </c>
      <c r="F17" s="11" t="s">
        <v>7</v>
      </c>
      <c r="G17" s="9"/>
      <c r="H17" s="1"/>
      <c r="I17" s="1"/>
      <c r="J17" s="1"/>
      <c r="K17" s="25"/>
      <c r="L17" s="1"/>
      <c r="M17" s="1"/>
      <c r="N17" s="1"/>
      <c r="O17" s="1"/>
      <c r="P17" s="1"/>
      <c r="Q17" s="1"/>
      <c r="R17" s="1"/>
      <c r="S17" s="1"/>
      <c r="T17" s="25"/>
      <c r="U17" s="1"/>
      <c r="V17" s="1"/>
      <c r="W17" s="1"/>
      <c r="X17" s="1"/>
      <c r="Y17" s="1"/>
      <c r="Z17" s="1"/>
    </row>
    <row r="18" spans="1:26" ht="27.75" customHeight="1" x14ac:dyDescent="0.2">
      <c r="A18" s="1"/>
      <c r="B18" s="13" t="s">
        <v>113</v>
      </c>
      <c r="C18" s="13"/>
      <c r="D18" s="26">
        <v>7</v>
      </c>
      <c r="E18" s="16" t="str">
        <f t="shared" ref="E18:E29" si="4">IF($D18&gt;0,IF($D18&lt;=3,"Simple",IF(AND($D18&gt;3,$D18&lt;7),"Intermedio",IF($D18&gt;=7,"Complejo","error"))),"-")</f>
        <v>Complejo</v>
      </c>
      <c r="F18" s="16">
        <f t="shared" ref="F18:F29" si="5">IF($D18&gt;0,IF($D18&lt;=3,5,IF(AND($D18&gt;3,$D18&lt;7),10,IF($D18&gt;=7,15,"error"))),0)</f>
        <v>15</v>
      </c>
      <c r="G18" s="1"/>
      <c r="H18" s="1"/>
      <c r="I18" s="1"/>
      <c r="J18" s="1"/>
      <c r="K18" s="25"/>
      <c r="L18" s="1"/>
      <c r="M18" s="1"/>
      <c r="N18" s="1"/>
      <c r="O18" s="1"/>
      <c r="P18" s="1"/>
      <c r="Q18" s="1"/>
      <c r="R18" s="1"/>
      <c r="S18" s="1"/>
      <c r="T18" s="25"/>
      <c r="U18" s="1"/>
      <c r="V18" s="1"/>
      <c r="W18" s="1"/>
      <c r="X18" s="1"/>
      <c r="Y18" s="1"/>
      <c r="Z18" s="1"/>
    </row>
    <row r="19" spans="1:26" ht="27.75" customHeight="1" x14ac:dyDescent="0.2">
      <c r="A19" s="1"/>
      <c r="B19" s="13" t="s">
        <v>114</v>
      </c>
      <c r="C19" s="13"/>
      <c r="D19" s="26">
        <v>4</v>
      </c>
      <c r="E19" s="16" t="str">
        <f t="shared" si="4"/>
        <v>Intermedio</v>
      </c>
      <c r="F19" s="16">
        <f t="shared" si="5"/>
        <v>10</v>
      </c>
      <c r="G19" s="1"/>
      <c r="H19" s="1"/>
      <c r="I19" s="1"/>
      <c r="J19" s="1"/>
      <c r="K19" s="25"/>
      <c r="L19" s="1"/>
      <c r="M19" s="1"/>
      <c r="N19" s="1"/>
      <c r="O19" s="1"/>
      <c r="P19" s="1"/>
      <c r="Q19" s="1"/>
      <c r="R19" s="1"/>
      <c r="S19" s="1"/>
      <c r="T19" s="25"/>
      <c r="U19" s="1"/>
      <c r="V19" s="1"/>
      <c r="W19" s="1"/>
      <c r="X19" s="1"/>
      <c r="Y19" s="1"/>
      <c r="Z19" s="1"/>
    </row>
    <row r="20" spans="1:26" ht="27.75" customHeight="1" x14ac:dyDescent="0.2">
      <c r="A20" s="1"/>
      <c r="B20" s="13" t="s">
        <v>115</v>
      </c>
      <c r="C20" s="13"/>
      <c r="D20" s="26">
        <v>2</v>
      </c>
      <c r="E20" s="16" t="str">
        <f t="shared" si="4"/>
        <v>Simple</v>
      </c>
      <c r="F20" s="16">
        <f t="shared" si="5"/>
        <v>5</v>
      </c>
      <c r="G20" s="1"/>
      <c r="H20" s="1"/>
      <c r="I20" s="1"/>
      <c r="J20" s="1"/>
      <c r="K20" s="25"/>
      <c r="L20" s="1"/>
      <c r="M20" s="1"/>
      <c r="N20" s="1"/>
      <c r="O20" s="1"/>
      <c r="P20" s="1"/>
      <c r="Q20" s="1"/>
      <c r="R20" s="1"/>
      <c r="S20" s="1"/>
      <c r="T20" s="25"/>
      <c r="U20" s="1"/>
      <c r="V20" s="1"/>
      <c r="W20" s="1"/>
      <c r="X20" s="1"/>
      <c r="Y20" s="1"/>
      <c r="Z20" s="1"/>
    </row>
    <row r="21" spans="1:26" ht="27.75" customHeight="1" x14ac:dyDescent="0.2">
      <c r="A21" s="1"/>
      <c r="B21" s="13" t="s">
        <v>116</v>
      </c>
      <c r="C21" s="82"/>
      <c r="D21" s="83">
        <v>2</v>
      </c>
      <c r="E21" s="16" t="str">
        <f t="shared" si="4"/>
        <v>Simple</v>
      </c>
      <c r="F21" s="16">
        <f t="shared" si="5"/>
        <v>5</v>
      </c>
      <c r="G21" s="1"/>
      <c r="H21" s="1"/>
      <c r="I21" s="1"/>
      <c r="J21" s="1"/>
      <c r="K21" s="25"/>
      <c r="L21" s="1"/>
      <c r="M21" s="1"/>
      <c r="N21" s="1"/>
      <c r="O21" s="1"/>
      <c r="P21" s="1"/>
      <c r="Q21" s="1"/>
      <c r="R21" s="1"/>
      <c r="S21" s="1"/>
      <c r="T21" s="25"/>
      <c r="U21" s="1"/>
      <c r="V21" s="1"/>
      <c r="W21" s="1"/>
      <c r="X21" s="1"/>
      <c r="Y21" s="1"/>
      <c r="Z21" s="1"/>
    </row>
    <row r="22" spans="1:26" ht="27.75" customHeight="1" x14ac:dyDescent="0.2">
      <c r="A22" s="1"/>
      <c r="B22" s="13" t="s">
        <v>117</v>
      </c>
      <c r="C22" s="82"/>
      <c r="D22" s="83">
        <v>5</v>
      </c>
      <c r="E22" s="16" t="str">
        <f t="shared" si="4"/>
        <v>Intermedio</v>
      </c>
      <c r="F22" s="16">
        <f t="shared" si="5"/>
        <v>10</v>
      </c>
      <c r="G22" s="1"/>
      <c r="H22" s="1"/>
      <c r="I22" s="1"/>
      <c r="J22" s="1"/>
      <c r="K22" s="25"/>
      <c r="L22" s="1"/>
      <c r="M22" s="1"/>
      <c r="N22" s="1"/>
      <c r="O22" s="1"/>
      <c r="P22" s="1"/>
      <c r="Q22" s="1"/>
      <c r="R22" s="1"/>
      <c r="S22" s="1"/>
      <c r="T22" s="25"/>
      <c r="U22" s="1"/>
      <c r="V22" s="1"/>
      <c r="W22" s="1"/>
      <c r="X22" s="1"/>
      <c r="Y22" s="1"/>
      <c r="Z22" s="1"/>
    </row>
    <row r="23" spans="1:26" ht="27.75" customHeight="1" x14ac:dyDescent="0.2">
      <c r="A23" s="1"/>
      <c r="B23" s="13" t="s">
        <v>118</v>
      </c>
      <c r="C23" s="82"/>
      <c r="D23" s="83">
        <v>2</v>
      </c>
      <c r="E23" s="16" t="str">
        <f t="shared" si="4"/>
        <v>Simple</v>
      </c>
      <c r="F23" s="16">
        <f t="shared" si="5"/>
        <v>5</v>
      </c>
      <c r="G23" s="1"/>
      <c r="H23" s="1"/>
      <c r="I23" s="1"/>
      <c r="J23" s="1"/>
      <c r="K23" s="25"/>
      <c r="L23" s="1"/>
      <c r="M23" s="1"/>
      <c r="N23" s="1"/>
      <c r="O23" s="1"/>
      <c r="P23" s="1"/>
      <c r="Q23" s="1"/>
      <c r="R23" s="1"/>
      <c r="S23" s="1"/>
      <c r="T23" s="25"/>
      <c r="U23" s="1"/>
      <c r="V23" s="1"/>
      <c r="W23" s="1"/>
      <c r="X23" s="1"/>
      <c r="Y23" s="1"/>
      <c r="Z23" s="1"/>
    </row>
    <row r="24" spans="1:26" ht="27.75" customHeight="1" x14ac:dyDescent="0.2">
      <c r="A24" s="1"/>
      <c r="B24" s="13" t="s">
        <v>119</v>
      </c>
      <c r="C24" s="82"/>
      <c r="D24" s="83">
        <v>1</v>
      </c>
      <c r="E24" s="16" t="str">
        <f t="shared" si="4"/>
        <v>Simple</v>
      </c>
      <c r="F24" s="16">
        <f t="shared" si="5"/>
        <v>5</v>
      </c>
      <c r="G24" s="1"/>
      <c r="H24" s="1"/>
      <c r="I24" s="1"/>
      <c r="J24" s="1"/>
      <c r="K24" s="25"/>
      <c r="L24" s="1"/>
      <c r="M24" s="1"/>
      <c r="N24" s="1"/>
      <c r="O24" s="1"/>
      <c r="P24" s="1"/>
      <c r="Q24" s="1"/>
      <c r="R24" s="1"/>
      <c r="S24" s="1"/>
      <c r="T24" s="25"/>
      <c r="U24" s="1"/>
      <c r="V24" s="1"/>
      <c r="W24" s="1"/>
      <c r="X24" s="1"/>
      <c r="Y24" s="1"/>
      <c r="Z24" s="1"/>
    </row>
    <row r="25" spans="1:26" ht="27.75" customHeight="1" x14ac:dyDescent="0.2">
      <c r="A25" s="1"/>
      <c r="B25" s="13" t="s">
        <v>120</v>
      </c>
      <c r="C25" s="82"/>
      <c r="D25" s="83">
        <v>4</v>
      </c>
      <c r="E25" s="16" t="str">
        <f t="shared" si="4"/>
        <v>Intermedio</v>
      </c>
      <c r="F25" s="16">
        <f t="shared" si="5"/>
        <v>10</v>
      </c>
      <c r="G25" s="1"/>
      <c r="H25" s="1"/>
      <c r="I25" s="1"/>
      <c r="J25" s="1"/>
      <c r="K25" s="25"/>
      <c r="L25" s="1"/>
      <c r="M25" s="1"/>
      <c r="N25" s="1"/>
      <c r="O25" s="1"/>
      <c r="P25" s="1"/>
      <c r="Q25" s="1"/>
      <c r="R25" s="1"/>
      <c r="S25" s="1"/>
      <c r="T25" s="25"/>
      <c r="U25" s="1"/>
      <c r="V25" s="1"/>
      <c r="W25" s="1"/>
      <c r="X25" s="1"/>
      <c r="Y25" s="1"/>
      <c r="Z25" s="1"/>
    </row>
    <row r="26" spans="1:26" ht="27.75" customHeight="1" x14ac:dyDescent="0.2">
      <c r="A26" s="1"/>
      <c r="B26" s="13" t="s">
        <v>121</v>
      </c>
      <c r="C26" s="82"/>
      <c r="D26" s="83">
        <v>3</v>
      </c>
      <c r="E26" s="16" t="str">
        <f t="shared" si="4"/>
        <v>Simple</v>
      </c>
      <c r="F26" s="16">
        <f t="shared" si="5"/>
        <v>5</v>
      </c>
      <c r="G26" s="1"/>
      <c r="H26" s="1"/>
      <c r="I26" s="1"/>
      <c r="J26" s="1"/>
      <c r="K26" s="25"/>
      <c r="L26" s="1"/>
      <c r="M26" s="1"/>
      <c r="N26" s="1"/>
      <c r="O26" s="1"/>
      <c r="P26" s="1"/>
      <c r="Q26" s="1"/>
      <c r="R26" s="1"/>
      <c r="S26" s="1"/>
      <c r="T26" s="25"/>
      <c r="U26" s="1"/>
      <c r="V26" s="1"/>
      <c r="W26" s="1"/>
      <c r="X26" s="1"/>
      <c r="Y26" s="1"/>
      <c r="Z26" s="1"/>
    </row>
    <row r="27" spans="1:26" ht="27.75" customHeight="1" x14ac:dyDescent="0.2">
      <c r="A27" s="1"/>
      <c r="B27" s="13" t="s">
        <v>122</v>
      </c>
      <c r="C27" s="27"/>
      <c r="D27" s="28">
        <v>4</v>
      </c>
      <c r="E27" s="16" t="str">
        <f t="shared" si="4"/>
        <v>Intermedio</v>
      </c>
      <c r="F27" s="16">
        <f t="shared" si="5"/>
        <v>10</v>
      </c>
      <c r="G27" s="1"/>
      <c r="H27" s="1"/>
      <c r="I27" s="1"/>
      <c r="J27" s="1"/>
      <c r="K27" s="25"/>
      <c r="L27" s="1"/>
      <c r="M27" s="1"/>
      <c r="N27" s="1"/>
      <c r="O27" s="1"/>
      <c r="P27" s="1"/>
      <c r="Q27" s="1"/>
      <c r="R27" s="1"/>
      <c r="S27" s="1"/>
      <c r="T27" s="25"/>
      <c r="U27" s="1"/>
      <c r="V27" s="1"/>
      <c r="W27" s="1"/>
      <c r="X27" s="1"/>
      <c r="Y27" s="1"/>
      <c r="Z27" s="1"/>
    </row>
    <row r="28" spans="1:26" ht="27.75" customHeight="1" x14ac:dyDescent="0.2">
      <c r="A28" s="1"/>
      <c r="B28" s="13" t="s">
        <v>123</v>
      </c>
      <c r="C28" s="27"/>
      <c r="D28" s="28">
        <v>4</v>
      </c>
      <c r="E28" s="16" t="str">
        <f t="shared" si="4"/>
        <v>Intermedio</v>
      </c>
      <c r="F28" s="16">
        <f t="shared" si="5"/>
        <v>10</v>
      </c>
      <c r="G28" s="1"/>
      <c r="H28" s="1"/>
      <c r="I28" s="1"/>
      <c r="J28" s="1"/>
      <c r="K28" s="25"/>
      <c r="L28" s="1"/>
      <c r="M28" s="1"/>
      <c r="N28" s="1"/>
      <c r="O28" s="1"/>
      <c r="P28" s="1"/>
      <c r="Q28" s="1"/>
      <c r="R28" s="1"/>
      <c r="S28" s="1"/>
      <c r="T28" s="25"/>
      <c r="U28" s="1"/>
      <c r="V28" s="1"/>
      <c r="W28" s="1"/>
      <c r="X28" s="1"/>
      <c r="Y28" s="1"/>
      <c r="Z28" s="1"/>
    </row>
    <row r="29" spans="1:26" ht="27.75" customHeight="1" x14ac:dyDescent="0.2">
      <c r="A29" s="1"/>
      <c r="B29" s="13" t="s">
        <v>124</v>
      </c>
      <c r="C29" s="27"/>
      <c r="D29" s="28">
        <v>2</v>
      </c>
      <c r="E29" s="16" t="str">
        <f t="shared" si="4"/>
        <v>Simple</v>
      </c>
      <c r="F29" s="16">
        <f t="shared" si="5"/>
        <v>5</v>
      </c>
      <c r="G29" s="1"/>
      <c r="H29" s="10"/>
      <c r="I29" s="1"/>
      <c r="J29" s="1"/>
      <c r="K29" s="2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.75" customHeight="1" x14ac:dyDescent="0.2">
      <c r="A30" s="1"/>
      <c r="B30" s="29"/>
      <c r="C30" s="96" t="s">
        <v>19</v>
      </c>
      <c r="D30" s="97"/>
      <c r="E30" s="98"/>
      <c r="F30" s="30">
        <f>SUM(F18:F29)</f>
        <v>95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.75" customHeight="1" x14ac:dyDescent="0.2">
      <c r="A31" s="1"/>
      <c r="B31" s="1"/>
      <c r="C31" s="1"/>
      <c r="D31" s="2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.75" customHeight="1" x14ac:dyDescent="0.2">
      <c r="A32" s="10" t="s">
        <v>20</v>
      </c>
      <c r="B32" s="1"/>
      <c r="C32" s="1"/>
      <c r="D32" s="2"/>
      <c r="E32" s="3"/>
      <c r="F32" s="1"/>
      <c r="G32" s="1"/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.75" customHeight="1" x14ac:dyDescent="0.2">
      <c r="A33" s="1"/>
      <c r="B33" s="31"/>
      <c r="C33" s="84" t="s">
        <v>21</v>
      </c>
      <c r="D33" s="94"/>
      <c r="E33" s="95"/>
      <c r="F33" s="20">
        <f>G14+F30</f>
        <v>107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.75" customHeight="1" x14ac:dyDescent="0.2">
      <c r="A34" s="1"/>
      <c r="B34" s="1"/>
      <c r="C34" s="1"/>
      <c r="D34" s="2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.75" customHeight="1" x14ac:dyDescent="0.2">
      <c r="A35" s="10" t="s">
        <v>22</v>
      </c>
      <c r="B35" s="3"/>
      <c r="C35" s="1"/>
      <c r="D35" s="2"/>
      <c r="E35" s="3"/>
      <c r="F35" s="1"/>
      <c r="G35" s="1"/>
      <c r="H35" s="1" t="s">
        <v>28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27.75" customHeight="1" x14ac:dyDescent="0.2">
      <c r="A36" s="1"/>
      <c r="B36" s="12" t="s">
        <v>23</v>
      </c>
      <c r="C36" s="12" t="s">
        <v>24</v>
      </c>
      <c r="D36" s="11" t="s">
        <v>25</v>
      </c>
      <c r="E36" s="11" t="s">
        <v>7</v>
      </c>
      <c r="F36" s="11" t="s">
        <v>26</v>
      </c>
      <c r="G36" s="11" t="s">
        <v>27</v>
      </c>
      <c r="H36" s="36" t="s">
        <v>31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32" t="s">
        <v>29</v>
      </c>
      <c r="C37" s="32" t="s">
        <v>30</v>
      </c>
      <c r="D37" s="33" t="s">
        <v>125</v>
      </c>
      <c r="E37" s="34">
        <v>2</v>
      </c>
      <c r="F37" s="17">
        <v>0</v>
      </c>
      <c r="G37" s="35">
        <f t="shared" ref="G37:G49" si="6">E37*F37</f>
        <v>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2">
      <c r="A38" s="1"/>
      <c r="B38" s="32" t="s">
        <v>32</v>
      </c>
      <c r="C38" s="32" t="s">
        <v>30</v>
      </c>
      <c r="D38" s="33" t="s">
        <v>126</v>
      </c>
      <c r="E38" s="35">
        <v>2</v>
      </c>
      <c r="F38" s="17">
        <v>2</v>
      </c>
      <c r="G38" s="35">
        <f t="shared" si="6"/>
        <v>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32" t="s">
        <v>33</v>
      </c>
      <c r="C39" s="32" t="s">
        <v>30</v>
      </c>
      <c r="D39" s="33" t="s">
        <v>126</v>
      </c>
      <c r="E39" s="35">
        <v>1</v>
      </c>
      <c r="F39" s="17">
        <v>2</v>
      </c>
      <c r="G39" s="35">
        <f t="shared" si="6"/>
        <v>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.75" customHeight="1" x14ac:dyDescent="0.2">
      <c r="A40" s="1"/>
      <c r="B40" s="32" t="s">
        <v>34</v>
      </c>
      <c r="C40" s="32" t="s">
        <v>30</v>
      </c>
      <c r="D40" s="33" t="s">
        <v>127</v>
      </c>
      <c r="E40" s="35">
        <v>1</v>
      </c>
      <c r="F40" s="17">
        <v>1</v>
      </c>
      <c r="G40" s="35">
        <f t="shared" si="6"/>
        <v>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.75" customHeight="1" x14ac:dyDescent="0.2">
      <c r="A41" s="1"/>
      <c r="B41" s="32" t="s">
        <v>35</v>
      </c>
      <c r="C41" s="32" t="s">
        <v>30</v>
      </c>
      <c r="D41" s="33" t="s">
        <v>127</v>
      </c>
      <c r="E41" s="34">
        <v>1</v>
      </c>
      <c r="F41" s="17">
        <v>1</v>
      </c>
      <c r="G41" s="35">
        <f t="shared" si="6"/>
        <v>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7.75" customHeight="1" x14ac:dyDescent="0.2">
      <c r="A42" s="1"/>
      <c r="B42" s="32" t="s">
        <v>36</v>
      </c>
      <c r="C42" s="32" t="s">
        <v>30</v>
      </c>
      <c r="D42" s="33" t="s">
        <v>128</v>
      </c>
      <c r="E42" s="34">
        <v>0.5</v>
      </c>
      <c r="F42" s="17">
        <v>0.5</v>
      </c>
      <c r="G42" s="35">
        <f t="shared" si="6"/>
        <v>0.25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.75" customHeight="1" x14ac:dyDescent="0.2">
      <c r="A43" s="1"/>
      <c r="B43" s="32" t="s">
        <v>37</v>
      </c>
      <c r="C43" s="32" t="s">
        <v>30</v>
      </c>
      <c r="D43" s="33" t="s">
        <v>129</v>
      </c>
      <c r="E43" s="34">
        <v>0.5</v>
      </c>
      <c r="F43" s="17">
        <v>4</v>
      </c>
      <c r="G43" s="35">
        <f t="shared" si="6"/>
        <v>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.75" customHeight="1" x14ac:dyDescent="0.2">
      <c r="A44" s="1"/>
      <c r="B44" s="32" t="s">
        <v>38</v>
      </c>
      <c r="C44" s="32" t="s">
        <v>30</v>
      </c>
      <c r="D44" s="33" t="s">
        <v>125</v>
      </c>
      <c r="E44" s="34">
        <v>2</v>
      </c>
      <c r="F44" s="17">
        <v>0</v>
      </c>
      <c r="G44" s="35">
        <f t="shared" si="6"/>
        <v>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.75" customHeight="1" x14ac:dyDescent="0.2">
      <c r="A45" s="1"/>
      <c r="B45" s="32" t="s">
        <v>39</v>
      </c>
      <c r="C45" s="32" t="s">
        <v>30</v>
      </c>
      <c r="D45" s="33" t="s">
        <v>127</v>
      </c>
      <c r="E45" s="34">
        <v>1</v>
      </c>
      <c r="F45" s="17">
        <v>1</v>
      </c>
      <c r="G45" s="35">
        <f t="shared" si="6"/>
        <v>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32" t="s">
        <v>40</v>
      </c>
      <c r="C46" s="32" t="s">
        <v>30</v>
      </c>
      <c r="D46" s="33" t="s">
        <v>130</v>
      </c>
      <c r="E46" s="34">
        <v>1</v>
      </c>
      <c r="F46" s="17">
        <v>0</v>
      </c>
      <c r="G46" s="35">
        <f t="shared" si="6"/>
        <v>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32" t="s">
        <v>41</v>
      </c>
      <c r="C47" s="32" t="s">
        <v>30</v>
      </c>
      <c r="D47" s="33" t="s">
        <v>129</v>
      </c>
      <c r="E47" s="35">
        <v>1</v>
      </c>
      <c r="F47" s="17">
        <v>4</v>
      </c>
      <c r="G47" s="35">
        <f t="shared" si="6"/>
        <v>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32" t="s">
        <v>42</v>
      </c>
      <c r="C48" s="32" t="s">
        <v>30</v>
      </c>
      <c r="D48" s="33" t="s">
        <v>127</v>
      </c>
      <c r="E48" s="35">
        <v>1</v>
      </c>
      <c r="F48" s="17">
        <v>1</v>
      </c>
      <c r="G48" s="35">
        <f t="shared" si="6"/>
        <v>1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.75" customHeight="1" x14ac:dyDescent="0.2">
      <c r="A49" s="1"/>
      <c r="B49" s="32" t="s">
        <v>43</v>
      </c>
      <c r="C49" s="32" t="s">
        <v>30</v>
      </c>
      <c r="D49" s="33" t="s">
        <v>129</v>
      </c>
      <c r="E49" s="34">
        <v>1</v>
      </c>
      <c r="F49" s="17">
        <v>4</v>
      </c>
      <c r="G49" s="35">
        <f t="shared" si="6"/>
        <v>4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.75" customHeight="1" x14ac:dyDescent="0.2">
      <c r="A50" s="1"/>
      <c r="B50" s="84" t="s">
        <v>44</v>
      </c>
      <c r="C50" s="85"/>
      <c r="D50" s="85"/>
      <c r="E50" s="85"/>
      <c r="F50" s="86"/>
      <c r="G50" s="37">
        <f>SUM(G37:G49)</f>
        <v>20.25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7.75" customHeight="1" x14ac:dyDescent="0.2">
      <c r="A51" s="1"/>
      <c r="B51" s="84" t="s">
        <v>45</v>
      </c>
      <c r="C51" s="85"/>
      <c r="D51" s="85"/>
      <c r="E51" s="85"/>
      <c r="F51" s="86"/>
      <c r="G51" s="30">
        <f>0.6+(0.01*G50)</f>
        <v>0.80249999999999999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7.75" customHeight="1" x14ac:dyDescent="0.2">
      <c r="A52" s="1"/>
      <c r="B52" s="21"/>
      <c r="C52" s="3"/>
      <c r="D52" s="3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0" t="s">
        <v>46</v>
      </c>
      <c r="B53" s="38"/>
      <c r="C53" s="38"/>
      <c r="D53" s="39"/>
      <c r="E53" s="38"/>
      <c r="F53" s="38"/>
      <c r="G53" s="38"/>
      <c r="H53" s="1" t="s">
        <v>50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2">
      <c r="A54" s="1"/>
      <c r="B54" s="12" t="s">
        <v>47</v>
      </c>
      <c r="C54" s="12" t="s">
        <v>48</v>
      </c>
      <c r="D54" s="11" t="s">
        <v>49</v>
      </c>
      <c r="E54" s="11" t="s">
        <v>7</v>
      </c>
      <c r="F54" s="11" t="s">
        <v>26</v>
      </c>
      <c r="G54" s="11" t="s">
        <v>27</v>
      </c>
      <c r="H54" s="36" t="s">
        <v>31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40" t="s">
        <v>51</v>
      </c>
      <c r="C55" s="32" t="s">
        <v>52</v>
      </c>
      <c r="D55" s="33" t="s">
        <v>135</v>
      </c>
      <c r="E55" s="34">
        <v>1.5</v>
      </c>
      <c r="F55" s="17">
        <v>2</v>
      </c>
      <c r="G55" s="35">
        <f t="shared" ref="G55:G62" si="7">E55*F55</f>
        <v>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40" t="s">
        <v>53</v>
      </c>
      <c r="C56" s="32" t="s">
        <v>52</v>
      </c>
      <c r="D56" s="33" t="s">
        <v>136</v>
      </c>
      <c r="E56" s="34">
        <v>0.5</v>
      </c>
      <c r="F56" s="17">
        <v>0</v>
      </c>
      <c r="G56" s="35">
        <f t="shared" si="7"/>
        <v>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40" t="s">
        <v>54</v>
      </c>
      <c r="C57" s="32" t="s">
        <v>52</v>
      </c>
      <c r="D57" s="33" t="s">
        <v>137</v>
      </c>
      <c r="E57" s="34">
        <v>1</v>
      </c>
      <c r="F57" s="17">
        <v>2</v>
      </c>
      <c r="G57" s="35">
        <f t="shared" si="7"/>
        <v>2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7.75" customHeight="1" x14ac:dyDescent="0.2">
      <c r="A58" s="1"/>
      <c r="B58" s="40" t="s">
        <v>55</v>
      </c>
      <c r="C58" s="32" t="s">
        <v>52</v>
      </c>
      <c r="D58" s="33" t="s">
        <v>138</v>
      </c>
      <c r="E58" s="34">
        <v>0.5</v>
      </c>
      <c r="F58" s="17">
        <v>3</v>
      </c>
      <c r="G58" s="35">
        <f t="shared" si="7"/>
        <v>1.5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40" t="s">
        <v>56</v>
      </c>
      <c r="C59" s="32" t="s">
        <v>57</v>
      </c>
      <c r="D59" s="33" t="s">
        <v>131</v>
      </c>
      <c r="E59" s="34">
        <v>1</v>
      </c>
      <c r="F59" s="17">
        <v>3</v>
      </c>
      <c r="G59" s="35">
        <f t="shared" si="7"/>
        <v>3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40" t="s">
        <v>58</v>
      </c>
      <c r="C60" s="32" t="s">
        <v>59</v>
      </c>
      <c r="D60" s="33" t="s">
        <v>132</v>
      </c>
      <c r="E60" s="34">
        <v>2</v>
      </c>
      <c r="F60" s="17">
        <v>4</v>
      </c>
      <c r="G60" s="35">
        <f t="shared" si="7"/>
        <v>8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40" t="s">
        <v>60</v>
      </c>
      <c r="C61" s="32" t="s">
        <v>61</v>
      </c>
      <c r="D61" s="33" t="s">
        <v>133</v>
      </c>
      <c r="E61" s="34">
        <v>-1</v>
      </c>
      <c r="F61" s="17">
        <v>5</v>
      </c>
      <c r="G61" s="35">
        <f t="shared" si="7"/>
        <v>-5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.75" customHeight="1" x14ac:dyDescent="0.2">
      <c r="A62" s="1"/>
      <c r="B62" s="40" t="s">
        <v>62</v>
      </c>
      <c r="C62" s="32" t="s">
        <v>63</v>
      </c>
      <c r="D62" s="33" t="s">
        <v>134</v>
      </c>
      <c r="E62" s="34">
        <v>-1</v>
      </c>
      <c r="F62" s="17">
        <v>5</v>
      </c>
      <c r="G62" s="35">
        <f t="shared" si="7"/>
        <v>-5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.75" customHeight="1" x14ac:dyDescent="0.2">
      <c r="A63" s="1"/>
      <c r="B63" s="84" t="s">
        <v>64</v>
      </c>
      <c r="C63" s="85"/>
      <c r="D63" s="85"/>
      <c r="E63" s="85"/>
      <c r="F63" s="86"/>
      <c r="G63" s="11">
        <f>SUM(G55:G62)</f>
        <v>7.5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.75" customHeight="1" x14ac:dyDescent="0.2">
      <c r="A64" s="1"/>
      <c r="B64" s="84" t="s">
        <v>65</v>
      </c>
      <c r="C64" s="85"/>
      <c r="D64" s="85"/>
      <c r="E64" s="85"/>
      <c r="F64" s="86"/>
      <c r="G64" s="11">
        <f>1.4 + (-0.03*G63)</f>
        <v>1.1749999999999998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7.75" customHeight="1" x14ac:dyDescent="0.2">
      <c r="A65" s="1"/>
      <c r="B65" s="19"/>
      <c r="C65" s="41"/>
      <c r="D65" s="42"/>
      <c r="E65" s="41"/>
      <c r="F65" s="43" t="s">
        <v>66</v>
      </c>
      <c r="G65" s="11">
        <f>COUNTIF($F$55:$F$60,"&lt;3")+COUNTIF($F$61:$F$62,"&gt;3")</f>
        <v>5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.75" customHeight="1" x14ac:dyDescent="0.2">
      <c r="A66" s="1"/>
      <c r="B66" s="21"/>
      <c r="C66" s="3"/>
      <c r="D66" s="3"/>
      <c r="E66" s="3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.75" customHeight="1" x14ac:dyDescent="0.2">
      <c r="A67" s="10" t="s">
        <v>67</v>
      </c>
      <c r="B67" s="1"/>
      <c r="C67" s="1"/>
      <c r="D67" s="2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7.75" customHeight="1" x14ac:dyDescent="0.2">
      <c r="A68" s="1"/>
      <c r="B68" s="87" t="s">
        <v>68</v>
      </c>
      <c r="C68" s="88"/>
      <c r="D68" s="88"/>
      <c r="E68" s="88"/>
      <c r="F68" s="89"/>
      <c r="G68" s="44">
        <f>F33*G51*G64</f>
        <v>100.89431249999997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.75" customHeight="1" x14ac:dyDescent="0.2">
      <c r="A69" s="1"/>
      <c r="B69" s="1"/>
      <c r="C69" s="1"/>
      <c r="D69" s="2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45" t="s">
        <v>69</v>
      </c>
      <c r="B70" s="1"/>
      <c r="C70" s="1"/>
      <c r="D70" s="2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.75" customHeight="1" x14ac:dyDescent="0.2">
      <c r="A71" s="1"/>
      <c r="B71" s="12" t="s">
        <v>70</v>
      </c>
      <c r="C71" s="12" t="s">
        <v>71</v>
      </c>
      <c r="D71" s="74" t="s">
        <v>72</v>
      </c>
      <c r="E71" s="3"/>
      <c r="F71" s="1"/>
      <c r="G71" s="12" t="s">
        <v>73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.75" customHeight="1" x14ac:dyDescent="0.2">
      <c r="A72" s="1"/>
      <c r="B72" s="46">
        <v>20</v>
      </c>
      <c r="C72" s="46">
        <f>IF($G$65&gt;=5,36,IF(AND(G$65&gt;2,$G$65&lt;=4),28, IF(AND($G$65&gt;=0,$G$65&lt;=2),20,"error")))</f>
        <v>36</v>
      </c>
      <c r="D72" s="69">
        <f>IF($G$65&gt;=5,$G$72*(36/20),IF(AND($G$65&gt;2,$G$65&lt;=4),$G$72*(28/20), IF(AND($G$65&gt;=0,$G$65&lt;=2),$G$72,"error")))</f>
        <v>4.5</v>
      </c>
      <c r="E72" s="3"/>
      <c r="F72" s="1"/>
      <c r="G72" s="47">
        <v>2.5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.75" customHeight="1" x14ac:dyDescent="0.2">
      <c r="A73" s="48" t="s">
        <v>75</v>
      </c>
      <c r="B73" s="90" t="s">
        <v>74</v>
      </c>
      <c r="C73" s="91"/>
      <c r="D73" s="92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.75" customHeight="1" x14ac:dyDescent="0.2">
      <c r="A74" s="48" t="s">
        <v>76</v>
      </c>
      <c r="B74" s="46">
        <f t="shared" ref="B74:D74" si="8">$G$68*B72</f>
        <v>2017.8862499999993</v>
      </c>
      <c r="C74" s="46">
        <f t="shared" si="8"/>
        <v>3632.1952499999989</v>
      </c>
      <c r="D74" s="70">
        <f t="shared" si="8"/>
        <v>454.02440624999986</v>
      </c>
      <c r="E74" s="3"/>
      <c r="F74" s="1"/>
      <c r="G74" s="12" t="s">
        <v>89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.75" customHeight="1" x14ac:dyDescent="0.2">
      <c r="A75" s="1"/>
      <c r="B75" s="49">
        <f>B74/(22*G75)</f>
        <v>26.206314935064928</v>
      </c>
      <c r="C75" s="49">
        <f>C74/(22*G75)</f>
        <v>47.171366883116868</v>
      </c>
      <c r="D75" s="71">
        <f>D74/(22*G75)</f>
        <v>5.8964208603896084</v>
      </c>
      <c r="E75" s="3"/>
      <c r="F75" s="1"/>
      <c r="G75" s="47">
        <v>3.5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.75" customHeight="1" x14ac:dyDescent="0.2">
      <c r="A76" s="1"/>
      <c r="B76" s="1"/>
      <c r="C76" s="1"/>
      <c r="D76" s="2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.75" customHeight="1" x14ac:dyDescent="0.2">
      <c r="A77" s="10" t="s">
        <v>91</v>
      </c>
      <c r="B77" s="1"/>
      <c r="C77" s="1"/>
      <c r="D77" s="2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.75" customHeight="1" x14ac:dyDescent="0.2">
      <c r="A78" s="1"/>
      <c r="B78" s="50" t="s">
        <v>93</v>
      </c>
      <c r="C78" s="51"/>
      <c r="D78" s="42"/>
      <c r="E78" s="41"/>
      <c r="F78" s="5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.75" customHeight="1" x14ac:dyDescent="0.2">
      <c r="A79" s="1"/>
      <c r="B79" s="31" t="s">
        <v>77</v>
      </c>
      <c r="C79" s="11" t="s">
        <v>78</v>
      </c>
      <c r="D79" s="44" t="s">
        <v>94</v>
      </c>
      <c r="E79" s="44" t="s">
        <v>95</v>
      </c>
      <c r="F79" s="72" t="s">
        <v>96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.75" customHeight="1" x14ac:dyDescent="0.2">
      <c r="A80" s="1"/>
      <c r="B80" s="53" t="s">
        <v>82</v>
      </c>
      <c r="C80" s="80">
        <v>0.4</v>
      </c>
      <c r="D80" s="49">
        <f>+B74</f>
        <v>2017.8862499999993</v>
      </c>
      <c r="E80" s="49">
        <f>+C74</f>
        <v>3632.1952499999989</v>
      </c>
      <c r="F80" s="73">
        <f>+D74</f>
        <v>454.02440624999986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.75" customHeight="1" x14ac:dyDescent="0.2">
      <c r="A81" s="1"/>
      <c r="B81" s="53" t="s">
        <v>83</v>
      </c>
      <c r="C81" s="80">
        <f>1-C80</f>
        <v>0.6</v>
      </c>
      <c r="D81" s="46">
        <f>+D80*1.5</f>
        <v>3026.8293749999989</v>
      </c>
      <c r="E81" s="46">
        <f t="shared" ref="E81:F81" si="9">+E80*1.5</f>
        <v>5448.2928749999983</v>
      </c>
      <c r="F81" s="70">
        <f t="shared" si="9"/>
        <v>681.03660937499978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.75" customHeight="1" x14ac:dyDescent="0.2">
      <c r="A82" s="1"/>
      <c r="B82" s="54"/>
      <c r="C82" s="80">
        <f>SUM(C80:C81)</f>
        <v>1</v>
      </c>
      <c r="D82" s="49">
        <f>+D80+D81</f>
        <v>5044.715624999998</v>
      </c>
      <c r="E82" s="49">
        <f t="shared" ref="E82:F82" si="10">+E80+E81</f>
        <v>9080.4881249999962</v>
      </c>
      <c r="F82" s="73">
        <f t="shared" si="10"/>
        <v>1135.0610156249995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.75" customHeight="1" x14ac:dyDescent="0.2">
      <c r="A83" s="10" t="s">
        <v>92</v>
      </c>
      <c r="B83" s="1"/>
      <c r="C83" s="1"/>
      <c r="D83" s="1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7.75" customHeight="1" x14ac:dyDescent="0.2">
      <c r="A84" s="1"/>
      <c r="B84" s="50" t="s">
        <v>90</v>
      </c>
      <c r="C84" s="51"/>
      <c r="D84" s="42"/>
      <c r="E84" s="41"/>
      <c r="F84" s="5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.75" customHeight="1" x14ac:dyDescent="0.2">
      <c r="A85" s="1"/>
      <c r="B85" s="31" t="s">
        <v>77</v>
      </c>
      <c r="C85" s="11" t="s">
        <v>78</v>
      </c>
      <c r="D85" s="44" t="s">
        <v>79</v>
      </c>
      <c r="E85" s="44" t="s">
        <v>80</v>
      </c>
      <c r="F85" s="72" t="s">
        <v>81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7.75" customHeight="1" x14ac:dyDescent="0.2">
      <c r="A86" s="1"/>
      <c r="B86" s="53" t="s">
        <v>82</v>
      </c>
      <c r="C86" s="80">
        <v>0.4</v>
      </c>
      <c r="D86" s="49">
        <f>$C86/$C$86*B$75</f>
        <v>26.206314935064928</v>
      </c>
      <c r="E86" s="49">
        <f t="shared" ref="E86:F88" si="11">$C86/$C$86*C$75</f>
        <v>47.171366883116868</v>
      </c>
      <c r="F86" s="73">
        <f t="shared" si="11"/>
        <v>5.8964208603896084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7.75" customHeight="1" x14ac:dyDescent="0.2">
      <c r="A87" s="1"/>
      <c r="B87" s="53" t="s">
        <v>83</v>
      </c>
      <c r="C87" s="80">
        <f>1-C86</f>
        <v>0.6</v>
      </c>
      <c r="D87" s="46">
        <f>$C87/$C$86*B$75</f>
        <v>39.309472402597386</v>
      </c>
      <c r="E87" s="46">
        <f t="shared" si="11"/>
        <v>70.757050324675291</v>
      </c>
      <c r="F87" s="70">
        <f t="shared" si="11"/>
        <v>8.8446312905844113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7.75" customHeight="1" x14ac:dyDescent="0.2">
      <c r="A88" s="1"/>
      <c r="B88" s="54"/>
      <c r="C88" s="80">
        <f>SUM(C86:C87)</f>
        <v>1</v>
      </c>
      <c r="D88" s="49">
        <f>$C88/$C$86*B$75</f>
        <v>65.515787337662317</v>
      </c>
      <c r="E88" s="49">
        <f t="shared" si="11"/>
        <v>117.92841720779217</v>
      </c>
      <c r="F88" s="73">
        <f t="shared" si="11"/>
        <v>14.741052150974021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7.75" customHeight="1" x14ac:dyDescent="0.2">
      <c r="A89" s="10" t="s">
        <v>84</v>
      </c>
      <c r="B89" s="1"/>
      <c r="C89" s="1"/>
      <c r="D89" s="2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7.75" customHeight="1" x14ac:dyDescent="0.2">
      <c r="A90" s="1"/>
      <c r="B90" s="17">
        <v>1</v>
      </c>
      <c r="C90" s="1"/>
      <c r="D90" s="2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7.75" customHeight="1" x14ac:dyDescent="0.2">
      <c r="A91" s="10" t="s">
        <v>85</v>
      </c>
      <c r="B91" s="1"/>
      <c r="C91" s="1"/>
      <c r="D91" s="2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7.75" customHeight="1" x14ac:dyDescent="0.2">
      <c r="A92" s="55"/>
      <c r="B92" s="44" t="s">
        <v>86</v>
      </c>
      <c r="C92" s="44" t="s">
        <v>87</v>
      </c>
      <c r="D92" s="72" t="s">
        <v>88</v>
      </c>
      <c r="E92" s="3"/>
      <c r="F92" s="1"/>
      <c r="G92" s="1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5.75" customHeight="1" x14ac:dyDescent="0.2">
      <c r="A93" s="55"/>
      <c r="B93" s="56">
        <f>$D$88/$B$90</f>
        <v>65.515787337662317</v>
      </c>
      <c r="C93" s="56">
        <f>$E$88/$B$90</f>
        <v>117.92841720779217</v>
      </c>
      <c r="D93" s="75">
        <f>$F$88/$B$90</f>
        <v>14.741052150974021</v>
      </c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5.75" customHeight="1" x14ac:dyDescent="0.2">
      <c r="A94" s="58" t="s">
        <v>98</v>
      </c>
      <c r="B94" s="55"/>
      <c r="C94" s="55"/>
      <c r="D94" s="55"/>
      <c r="E94" s="57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5.75" customHeight="1" x14ac:dyDescent="0.2">
      <c r="A95" s="59">
        <v>46265</v>
      </c>
      <c r="B95" s="44" t="s">
        <v>97</v>
      </c>
      <c r="C95" s="44" t="s">
        <v>97</v>
      </c>
      <c r="D95" s="72" t="s">
        <v>97</v>
      </c>
      <c r="E95" s="57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5.75" customHeight="1" x14ac:dyDescent="0.2">
      <c r="A96" s="55"/>
      <c r="B96" s="60">
        <f>EDATE(A95,INT(B93)) + (B93-INT(B93))*DAY(EDATE(A95,INT(B93)+1)-EDATE(A95,INT(B93)))</f>
        <v>48258.957832792206</v>
      </c>
      <c r="C96" s="60">
        <f>EDATE(A95,INT(C93)) + (C93-INT(C93))*DAY(EDATE(A95,INT(C93)+1)-EDATE(A95,INT(C93)))</f>
        <v>49853.852516233768</v>
      </c>
      <c r="D96" s="76">
        <f>EDATE(A95,INT(D93)) + (D93-INT(D93))*DAY(EDATE(A95,INT(D93)+1)-EDATE(A95,INT(D93)))</f>
        <v>46713.231564529218</v>
      </c>
      <c r="E96" s="57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5.75" customHeight="1" x14ac:dyDescent="0.2">
      <c r="A97" s="55"/>
      <c r="B97" s="55"/>
      <c r="C97" s="55"/>
      <c r="D97" s="55"/>
      <c r="E97" s="57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5.75" customHeight="1" x14ac:dyDescent="0.2">
      <c r="A98" s="55"/>
      <c r="B98" s="55"/>
      <c r="C98" s="55"/>
      <c r="D98" s="55"/>
      <c r="E98" s="57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5.75" customHeight="1" x14ac:dyDescent="0.2">
      <c r="A99" s="55"/>
      <c r="B99" s="55"/>
      <c r="C99" s="55"/>
      <c r="D99" s="55"/>
      <c r="E99" s="57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5.75" customHeight="1" x14ac:dyDescent="0.2">
      <c r="A100" s="55"/>
      <c r="B100" s="55"/>
      <c r="C100" s="55"/>
      <c r="D100" s="55"/>
      <c r="E100" s="57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5.75" customHeight="1" x14ac:dyDescent="0.2">
      <c r="A101" s="55"/>
      <c r="B101" s="55"/>
      <c r="C101" s="55"/>
      <c r="D101" s="55"/>
      <c r="E101" s="57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5.75" customHeight="1" x14ac:dyDescent="0.2">
      <c r="A102" s="55"/>
      <c r="B102" s="55"/>
      <c r="C102" s="55"/>
      <c r="D102" s="55"/>
      <c r="E102" s="57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5.75" customHeight="1" x14ac:dyDescent="0.2">
      <c r="A103" s="55"/>
      <c r="B103" s="55"/>
      <c r="C103" s="55"/>
      <c r="D103" s="55"/>
      <c r="E103" s="57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5.75" customHeight="1" x14ac:dyDescent="0.2">
      <c r="A104" s="55"/>
      <c r="B104" s="55"/>
      <c r="C104" s="55"/>
      <c r="D104" s="55"/>
      <c r="E104" s="57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5.75" customHeight="1" x14ac:dyDescent="0.2">
      <c r="A105" s="55"/>
      <c r="B105" s="55"/>
      <c r="C105" s="55"/>
      <c r="D105" s="55"/>
      <c r="E105" s="57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5.75" customHeight="1" x14ac:dyDescent="0.2">
      <c r="A106" s="55"/>
      <c r="B106" s="55"/>
      <c r="C106" s="55"/>
      <c r="D106" s="55"/>
      <c r="E106" s="57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5.75" customHeight="1" x14ac:dyDescent="0.2">
      <c r="A107" s="55"/>
      <c r="B107" s="55"/>
      <c r="C107" s="55"/>
      <c r="D107" s="55"/>
      <c r="E107" s="57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5.75" customHeight="1" x14ac:dyDescent="0.2">
      <c r="A108" s="55"/>
      <c r="B108" s="55"/>
      <c r="C108" s="55"/>
      <c r="D108" s="55"/>
      <c r="E108" s="57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5.75" customHeight="1" x14ac:dyDescent="0.2">
      <c r="A109" s="1"/>
      <c r="B109" s="55"/>
      <c r="C109" s="55"/>
      <c r="D109" s="55"/>
      <c r="E109" s="57"/>
      <c r="F109" s="55"/>
      <c r="G109" s="5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2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2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2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2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2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2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2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2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2">
      <c r="A1012" s="1"/>
      <c r="B1012" s="1"/>
      <c r="C1012" s="1"/>
      <c r="D1012" s="2"/>
      <c r="E1012" s="3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2">
      <c r="A1013" s="1"/>
      <c r="B1013" s="1"/>
      <c r="C1013" s="1"/>
      <c r="D1013" s="2"/>
      <c r="E1013" s="3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" customHeight="1" x14ac:dyDescent="0.2">
      <c r="B1014" s="1"/>
      <c r="C1014" s="1"/>
      <c r="D1014" s="2"/>
      <c r="E1014" s="3"/>
      <c r="F1014" s="1"/>
      <c r="G1014" s="1"/>
    </row>
  </sheetData>
  <mergeCells count="10">
    <mergeCell ref="B64:F64"/>
    <mergeCell ref="B68:F68"/>
    <mergeCell ref="B73:D73"/>
    <mergeCell ref="B2:G2"/>
    <mergeCell ref="C14:F14"/>
    <mergeCell ref="C30:E30"/>
    <mergeCell ref="C33:E33"/>
    <mergeCell ref="B50:F50"/>
    <mergeCell ref="B51:F51"/>
    <mergeCell ref="B63:F63"/>
  </mergeCells>
  <dataValidations count="2">
    <dataValidation type="decimal" allowBlank="1" showInputMessage="1" showErrorMessage="1" prompt="Entre 1 y 9 personas." sqref="B90" xr:uid="{00000000-0002-0000-0000-000001000000}">
      <formula1>1</formula1>
      <formula2>9</formula2>
    </dataValidation>
    <dataValidation type="list" allowBlank="1" showErrorMessage="1" sqref="C10:C13" xr:uid="{00000000-0002-0000-0000-000000000000}">
      <formula1>"Simple,Intermedio,Complejo"</formula1>
    </dataValidation>
  </dataValidations>
  <hyperlinks>
    <hyperlink ref="H36" r:id="rId1" location="v=onepage&amp;q=e7%20part-time%20members&amp;f=false" xr:uid="{00000000-0004-0000-0000-000000000000}"/>
    <hyperlink ref="H54" r:id="rId2" location="v=onepage&amp;q=e7%20part-time%20members&amp;f=false" xr:uid="{00000000-0004-0000-0000-000001000000}"/>
  </hyperlinks>
  <pageMargins left="0.75" right="0.75" top="1" bottom="1" header="0" footer="0"/>
  <pageSetup orientation="portrait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10D4-56B6-4943-BCB8-A7A9B494F570}">
  <dimension ref="A1:Z1014"/>
  <sheetViews>
    <sheetView topLeftCell="A79" zoomScale="70" zoomScaleNormal="70" workbookViewId="0">
      <selection activeCell="A95" sqref="A95"/>
    </sheetView>
  </sheetViews>
  <sheetFormatPr baseColWidth="10" defaultColWidth="12.5703125" defaultRowHeight="15" customHeight="1" x14ac:dyDescent="0.2"/>
  <cols>
    <col min="1" max="1" width="27.7109375" customWidth="1"/>
    <col min="2" max="2" width="52.5703125" bestFit="1" customWidth="1"/>
    <col min="3" max="3" width="35.42578125" customWidth="1"/>
    <col min="4" max="4" width="38.5703125" customWidth="1"/>
    <col min="5" max="5" width="13.5703125" customWidth="1"/>
    <col min="6" max="6" width="16.140625" customWidth="1"/>
    <col min="7" max="7" width="16.7109375" customWidth="1"/>
    <col min="8" max="8" width="34.42578125" customWidth="1"/>
    <col min="9" max="9" width="10.5703125" customWidth="1"/>
    <col min="10" max="10" width="13.7109375" customWidth="1"/>
    <col min="11" max="26" width="9.140625" customWidth="1"/>
  </cols>
  <sheetData>
    <row r="1" spans="1:26" ht="27.75" customHeight="1" x14ac:dyDescent="0.2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 x14ac:dyDescent="0.2">
      <c r="A2" s="4"/>
      <c r="B2" s="93" t="s">
        <v>0</v>
      </c>
      <c r="C2" s="94"/>
      <c r="D2" s="94"/>
      <c r="E2" s="94"/>
      <c r="F2" s="94"/>
      <c r="G2" s="95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7.75" customHeight="1" x14ac:dyDescent="0.2">
      <c r="A3" s="4"/>
      <c r="B3" s="61" t="s">
        <v>1</v>
      </c>
      <c r="C3" s="77" t="s">
        <v>101</v>
      </c>
      <c r="D3" s="6"/>
      <c r="E3" s="6"/>
      <c r="F3" s="6"/>
      <c r="G3" s="7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.75" customHeight="1" x14ac:dyDescent="0.2">
      <c r="A4" s="4"/>
      <c r="B4" s="61" t="s">
        <v>2</v>
      </c>
      <c r="C4" s="78" t="s">
        <v>102</v>
      </c>
      <c r="D4" s="62"/>
      <c r="E4" s="62"/>
      <c r="F4" s="62"/>
      <c r="G4" s="7"/>
      <c r="H4" s="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7.75" customHeight="1" x14ac:dyDescent="0.2">
      <c r="A5" s="4"/>
      <c r="B5" s="63" t="s">
        <v>99</v>
      </c>
      <c r="C5" s="79" t="s">
        <v>139</v>
      </c>
      <c r="D5" s="64"/>
      <c r="E5" s="64"/>
      <c r="F5" s="64"/>
      <c r="G5" s="65"/>
      <c r="H5" s="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7.75" customHeight="1" x14ac:dyDescent="0.2">
      <c r="A6" s="4"/>
      <c r="B6" s="66" t="s">
        <v>100</v>
      </c>
      <c r="C6" s="81">
        <v>46289</v>
      </c>
      <c r="D6" s="67"/>
      <c r="E6" s="67"/>
      <c r="F6" s="67"/>
      <c r="G6" s="68"/>
      <c r="H6" s="6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7.75" customHeight="1" x14ac:dyDescent="0.2">
      <c r="A7" s="1"/>
      <c r="B7" s="8"/>
      <c r="C7" s="1"/>
      <c r="D7" s="9"/>
      <c r="E7" s="9"/>
      <c r="F7" s="9"/>
      <c r="G7" s="9"/>
      <c r="H7" s="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75" customHeight="1" x14ac:dyDescent="0.2">
      <c r="A8" s="1"/>
      <c r="B8" s="1"/>
      <c r="C8" s="1"/>
      <c r="D8" s="2"/>
      <c r="E8" s="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0" t="s">
        <v>3</v>
      </c>
      <c r="B9" s="11" t="s">
        <v>4</v>
      </c>
      <c r="C9" s="12" t="s">
        <v>5</v>
      </c>
      <c r="D9" s="12" t="s">
        <v>6</v>
      </c>
      <c r="E9" s="11" t="s">
        <v>7</v>
      </c>
      <c r="F9" s="11" t="s">
        <v>8</v>
      </c>
      <c r="G9" s="11" t="s">
        <v>9</v>
      </c>
      <c r="H9" s="9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7.75" customHeight="1" x14ac:dyDescent="0.2">
      <c r="A10" s="1"/>
      <c r="B10" s="13" t="s">
        <v>110</v>
      </c>
      <c r="C10" s="14" t="s">
        <v>10</v>
      </c>
      <c r="D10" s="15" t="s">
        <v>104</v>
      </c>
      <c r="E10" s="16">
        <f t="shared" ref="E10:E13" si="0">IF(C10="Simple",1,IF(C10="Intermedio",2,IF(C10="Complejo",3,"error")))</f>
        <v>3</v>
      </c>
      <c r="F10" s="17">
        <v>1</v>
      </c>
      <c r="G10" s="16">
        <f t="shared" ref="G10:G13" si="1">E10*F10</f>
        <v>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75" customHeight="1" x14ac:dyDescent="0.2">
      <c r="A11" s="1"/>
      <c r="B11" s="13" t="s">
        <v>103</v>
      </c>
      <c r="C11" s="14" t="s">
        <v>11</v>
      </c>
      <c r="D11" s="15" t="s">
        <v>105</v>
      </c>
      <c r="E11" s="16">
        <f t="shared" si="0"/>
        <v>2</v>
      </c>
      <c r="F11" s="17">
        <v>1</v>
      </c>
      <c r="G11" s="16">
        <f t="shared" si="1"/>
        <v>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 x14ac:dyDescent="0.2">
      <c r="A12" s="1"/>
      <c r="B12" s="13" t="s">
        <v>111</v>
      </c>
      <c r="C12" s="14" t="s">
        <v>10</v>
      </c>
      <c r="D12" s="15" t="s">
        <v>112</v>
      </c>
      <c r="E12" s="16">
        <f t="shared" si="0"/>
        <v>3</v>
      </c>
      <c r="F12" s="17">
        <v>2</v>
      </c>
      <c r="G12" s="16">
        <f t="shared" si="1"/>
        <v>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75" customHeight="1" x14ac:dyDescent="0.2">
      <c r="A13" s="1"/>
      <c r="B13" s="13" t="s">
        <v>107</v>
      </c>
      <c r="C13" s="14" t="s">
        <v>12</v>
      </c>
      <c r="D13" s="15" t="s">
        <v>106</v>
      </c>
      <c r="E13" s="16">
        <f t="shared" si="0"/>
        <v>1</v>
      </c>
      <c r="F13" s="17">
        <v>1</v>
      </c>
      <c r="G13" s="16">
        <f t="shared" si="1"/>
        <v>1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75" customHeight="1" x14ac:dyDescent="0.2">
      <c r="A14" s="1"/>
      <c r="B14" s="18"/>
      <c r="C14" s="84" t="s">
        <v>13</v>
      </c>
      <c r="D14" s="94"/>
      <c r="E14" s="94"/>
      <c r="F14" s="95"/>
      <c r="G14" s="20">
        <f>SUM(G10:G13)</f>
        <v>12</v>
      </c>
      <c r="H14" s="1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75" customHeight="1" x14ac:dyDescent="0.2">
      <c r="A15" s="1"/>
      <c r="B15" s="10"/>
      <c r="C15" s="21"/>
      <c r="D15" s="3"/>
      <c r="E15" s="3"/>
      <c r="F15" s="3"/>
      <c r="G15" s="22"/>
      <c r="H15" s="1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.75" customHeight="1" x14ac:dyDescent="0.2">
      <c r="A16" s="10" t="s">
        <v>14</v>
      </c>
      <c r="B16" s="10" t="s">
        <v>108</v>
      </c>
      <c r="C16" s="23" t="s">
        <v>109</v>
      </c>
      <c r="D16" s="23"/>
      <c r="E16" s="24"/>
      <c r="F16" s="10"/>
      <c r="G16" s="10"/>
      <c r="H16" s="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25"/>
      <c r="U16" s="1"/>
      <c r="V16" s="1"/>
      <c r="W16" s="1"/>
      <c r="X16" s="1"/>
      <c r="Y16" s="1"/>
      <c r="Z16" s="1"/>
    </row>
    <row r="17" spans="1:26" ht="27.75" customHeight="1" x14ac:dyDescent="0.2">
      <c r="A17" s="1"/>
      <c r="B17" s="11" t="s">
        <v>15</v>
      </c>
      <c r="C17" s="11" t="s">
        <v>16</v>
      </c>
      <c r="D17" s="12" t="s">
        <v>17</v>
      </c>
      <c r="E17" s="12" t="s">
        <v>18</v>
      </c>
      <c r="F17" s="11" t="s">
        <v>7</v>
      </c>
      <c r="G17" s="9"/>
      <c r="H17" s="1"/>
      <c r="I17" s="1"/>
      <c r="J17" s="1"/>
      <c r="K17" s="25"/>
      <c r="L17" s="1"/>
      <c r="M17" s="1"/>
      <c r="N17" s="1"/>
      <c r="O17" s="1"/>
      <c r="P17" s="1"/>
      <c r="Q17" s="1"/>
      <c r="R17" s="1"/>
      <c r="S17" s="1"/>
      <c r="T17" s="25"/>
      <c r="U17" s="1"/>
      <c r="V17" s="1"/>
      <c r="W17" s="1"/>
      <c r="X17" s="1"/>
      <c r="Y17" s="1"/>
      <c r="Z17" s="1"/>
    </row>
    <row r="18" spans="1:26" ht="27.75" customHeight="1" x14ac:dyDescent="0.2">
      <c r="A18" s="1"/>
      <c r="B18" s="13" t="s">
        <v>113</v>
      </c>
      <c r="C18" s="13"/>
      <c r="D18" s="26">
        <v>7</v>
      </c>
      <c r="E18" s="16" t="str">
        <f t="shared" ref="E18:E29" si="2">IF($D18&gt;0,IF($D18&lt;=3,"Simple",IF(AND($D18&gt;3,$D18&lt;7),"Intermedio",IF($D18&gt;=7,"Complejo","error"))),"-")</f>
        <v>Complejo</v>
      </c>
      <c r="F18" s="16">
        <f t="shared" ref="F18:F29" si="3">IF($D18&gt;0,IF($D18&lt;=3,5,IF(AND($D18&gt;3,$D18&lt;7),10,IF($D18&gt;=7,15,"error"))),0)</f>
        <v>15</v>
      </c>
      <c r="G18" s="1"/>
      <c r="H18" s="1"/>
      <c r="I18" s="1"/>
      <c r="J18" s="1"/>
      <c r="K18" s="25"/>
      <c r="L18" s="1"/>
      <c r="M18" s="1"/>
      <c r="N18" s="1"/>
      <c r="O18" s="1"/>
      <c r="P18" s="1"/>
      <c r="Q18" s="1"/>
      <c r="R18" s="1"/>
      <c r="S18" s="1"/>
      <c r="T18" s="25"/>
      <c r="U18" s="1"/>
      <c r="V18" s="1"/>
      <c r="W18" s="1"/>
      <c r="X18" s="1"/>
      <c r="Y18" s="1"/>
      <c r="Z18" s="1"/>
    </row>
    <row r="19" spans="1:26" ht="27.75" customHeight="1" x14ac:dyDescent="0.2">
      <c r="A19" s="1"/>
      <c r="B19" s="13" t="s">
        <v>114</v>
      </c>
      <c r="C19" s="13"/>
      <c r="D19" s="26">
        <v>4</v>
      </c>
      <c r="E19" s="16" t="str">
        <f t="shared" si="2"/>
        <v>Intermedio</v>
      </c>
      <c r="F19" s="16">
        <f t="shared" si="3"/>
        <v>10</v>
      </c>
      <c r="G19" s="1"/>
      <c r="H19" s="1"/>
      <c r="I19" s="1"/>
      <c r="J19" s="1"/>
      <c r="K19" s="25"/>
      <c r="L19" s="1"/>
      <c r="M19" s="1"/>
      <c r="N19" s="1"/>
      <c r="O19" s="1"/>
      <c r="P19" s="1"/>
      <c r="Q19" s="1"/>
      <c r="R19" s="1"/>
      <c r="S19" s="1"/>
      <c r="T19" s="25"/>
      <c r="U19" s="1"/>
      <c r="V19" s="1"/>
      <c r="W19" s="1"/>
      <c r="X19" s="1"/>
      <c r="Y19" s="1"/>
      <c r="Z19" s="1"/>
    </row>
    <row r="20" spans="1:26" ht="27.75" customHeight="1" x14ac:dyDescent="0.2">
      <c r="A20" s="1"/>
      <c r="B20" s="13" t="s">
        <v>115</v>
      </c>
      <c r="C20" s="13"/>
      <c r="D20" s="26">
        <v>2</v>
      </c>
      <c r="E20" s="16" t="str">
        <f t="shared" si="2"/>
        <v>Simple</v>
      </c>
      <c r="F20" s="16">
        <f t="shared" si="3"/>
        <v>5</v>
      </c>
      <c r="G20" s="1"/>
      <c r="H20" s="1"/>
      <c r="I20" s="1"/>
      <c r="J20" s="1"/>
      <c r="K20" s="25"/>
      <c r="L20" s="1"/>
      <c r="M20" s="1"/>
      <c r="N20" s="1"/>
      <c r="O20" s="1"/>
      <c r="P20" s="1"/>
      <c r="Q20" s="1"/>
      <c r="R20" s="1"/>
      <c r="S20" s="1"/>
      <c r="T20" s="25"/>
      <c r="U20" s="1"/>
      <c r="V20" s="1"/>
      <c r="W20" s="1"/>
      <c r="X20" s="1"/>
      <c r="Y20" s="1"/>
      <c r="Z20" s="1"/>
    </row>
    <row r="21" spans="1:26" ht="27.75" customHeight="1" x14ac:dyDescent="0.2">
      <c r="A21" s="1"/>
      <c r="B21" s="13" t="s">
        <v>116</v>
      </c>
      <c r="C21" s="82"/>
      <c r="D21" s="83">
        <v>2</v>
      </c>
      <c r="E21" s="16" t="str">
        <f t="shared" si="2"/>
        <v>Simple</v>
      </c>
      <c r="F21" s="16">
        <f t="shared" si="3"/>
        <v>5</v>
      </c>
      <c r="G21" s="1"/>
      <c r="H21" s="1"/>
      <c r="I21" s="1"/>
      <c r="J21" s="1"/>
      <c r="K21" s="25"/>
      <c r="L21" s="1"/>
      <c r="M21" s="1"/>
      <c r="N21" s="1"/>
      <c r="O21" s="1"/>
      <c r="P21" s="1"/>
      <c r="Q21" s="1"/>
      <c r="R21" s="1"/>
      <c r="S21" s="1"/>
      <c r="T21" s="25"/>
      <c r="U21" s="1"/>
      <c r="V21" s="1"/>
      <c r="W21" s="1"/>
      <c r="X21" s="1"/>
      <c r="Y21" s="1"/>
      <c r="Z21" s="1"/>
    </row>
    <row r="22" spans="1:26" ht="27.75" customHeight="1" x14ac:dyDescent="0.2">
      <c r="A22" s="1"/>
      <c r="B22" s="13" t="s">
        <v>117</v>
      </c>
      <c r="C22" s="82"/>
      <c r="D22" s="83">
        <v>5</v>
      </c>
      <c r="E22" s="16" t="str">
        <f t="shared" si="2"/>
        <v>Intermedio</v>
      </c>
      <c r="F22" s="16">
        <f t="shared" si="3"/>
        <v>10</v>
      </c>
      <c r="G22" s="1"/>
      <c r="H22" s="1"/>
      <c r="I22" s="1"/>
      <c r="J22" s="1"/>
      <c r="K22" s="25"/>
      <c r="L22" s="1"/>
      <c r="M22" s="1"/>
      <c r="N22" s="1"/>
      <c r="O22" s="1"/>
      <c r="P22" s="1"/>
      <c r="Q22" s="1"/>
      <c r="R22" s="1"/>
      <c r="S22" s="1"/>
      <c r="T22" s="25"/>
      <c r="U22" s="1"/>
      <c r="V22" s="1"/>
      <c r="W22" s="1"/>
      <c r="X22" s="1"/>
      <c r="Y22" s="1"/>
      <c r="Z22" s="1"/>
    </row>
    <row r="23" spans="1:26" ht="27.75" customHeight="1" x14ac:dyDescent="0.2">
      <c r="A23" s="1"/>
      <c r="B23" s="13" t="s">
        <v>118</v>
      </c>
      <c r="C23" s="82"/>
      <c r="D23" s="83">
        <v>2</v>
      </c>
      <c r="E23" s="16" t="str">
        <f t="shared" si="2"/>
        <v>Simple</v>
      </c>
      <c r="F23" s="16">
        <f t="shared" si="3"/>
        <v>5</v>
      </c>
      <c r="G23" s="1"/>
      <c r="H23" s="1"/>
      <c r="I23" s="1"/>
      <c r="J23" s="1"/>
      <c r="K23" s="25"/>
      <c r="L23" s="1"/>
      <c r="M23" s="1"/>
      <c r="N23" s="1"/>
      <c r="O23" s="1"/>
      <c r="P23" s="1"/>
      <c r="Q23" s="1"/>
      <c r="R23" s="1"/>
      <c r="S23" s="1"/>
      <c r="T23" s="25"/>
      <c r="U23" s="1"/>
      <c r="V23" s="1"/>
      <c r="W23" s="1"/>
      <c r="X23" s="1"/>
      <c r="Y23" s="1"/>
      <c r="Z23" s="1"/>
    </row>
    <row r="24" spans="1:26" ht="27.75" customHeight="1" x14ac:dyDescent="0.2">
      <c r="A24" s="1"/>
      <c r="B24" s="13" t="s">
        <v>119</v>
      </c>
      <c r="C24" s="82"/>
      <c r="D24" s="83">
        <v>1</v>
      </c>
      <c r="E24" s="16" t="str">
        <f t="shared" si="2"/>
        <v>Simple</v>
      </c>
      <c r="F24" s="16">
        <f t="shared" si="3"/>
        <v>5</v>
      </c>
      <c r="G24" s="1"/>
      <c r="H24" s="1"/>
      <c r="I24" s="1"/>
      <c r="J24" s="1"/>
      <c r="K24" s="25"/>
      <c r="L24" s="1"/>
      <c r="M24" s="1"/>
      <c r="N24" s="1"/>
      <c r="O24" s="1"/>
      <c r="P24" s="1"/>
      <c r="Q24" s="1"/>
      <c r="R24" s="1"/>
      <c r="S24" s="1"/>
      <c r="T24" s="25"/>
      <c r="U24" s="1"/>
      <c r="V24" s="1"/>
      <c r="W24" s="1"/>
      <c r="X24" s="1"/>
      <c r="Y24" s="1"/>
      <c r="Z24" s="1"/>
    </row>
    <row r="25" spans="1:26" ht="27.75" customHeight="1" x14ac:dyDescent="0.2">
      <c r="A25" s="1"/>
      <c r="B25" s="13" t="s">
        <v>120</v>
      </c>
      <c r="C25" s="82"/>
      <c r="D25" s="83">
        <v>4</v>
      </c>
      <c r="E25" s="16" t="str">
        <f t="shared" si="2"/>
        <v>Intermedio</v>
      </c>
      <c r="F25" s="16">
        <f t="shared" si="3"/>
        <v>10</v>
      </c>
      <c r="G25" s="1"/>
      <c r="H25" s="1"/>
      <c r="I25" s="1"/>
      <c r="J25" s="1"/>
      <c r="K25" s="25"/>
      <c r="L25" s="1"/>
      <c r="M25" s="1"/>
      <c r="N25" s="1"/>
      <c r="O25" s="1"/>
      <c r="P25" s="1"/>
      <c r="Q25" s="1"/>
      <c r="R25" s="1"/>
      <c r="S25" s="1"/>
      <c r="T25" s="25"/>
      <c r="U25" s="1"/>
      <c r="V25" s="1"/>
      <c r="W25" s="1"/>
      <c r="X25" s="1"/>
      <c r="Y25" s="1"/>
      <c r="Z25" s="1"/>
    </row>
    <row r="26" spans="1:26" ht="27.75" customHeight="1" x14ac:dyDescent="0.2">
      <c r="A26" s="1"/>
      <c r="B26" s="13" t="s">
        <v>121</v>
      </c>
      <c r="C26" s="82"/>
      <c r="D26" s="83">
        <v>3</v>
      </c>
      <c r="E26" s="16" t="str">
        <f t="shared" si="2"/>
        <v>Simple</v>
      </c>
      <c r="F26" s="16">
        <f t="shared" si="3"/>
        <v>5</v>
      </c>
      <c r="G26" s="1"/>
      <c r="H26" s="1"/>
      <c r="I26" s="1"/>
      <c r="J26" s="1"/>
      <c r="K26" s="25"/>
      <c r="L26" s="1"/>
      <c r="M26" s="1"/>
      <c r="N26" s="1"/>
      <c r="O26" s="1"/>
      <c r="P26" s="1"/>
      <c r="Q26" s="1"/>
      <c r="R26" s="1"/>
      <c r="S26" s="1"/>
      <c r="T26" s="25"/>
      <c r="U26" s="1"/>
      <c r="V26" s="1"/>
      <c r="W26" s="1"/>
      <c r="X26" s="1"/>
      <c r="Y26" s="1"/>
      <c r="Z26" s="1"/>
    </row>
    <row r="27" spans="1:26" ht="27.75" customHeight="1" x14ac:dyDescent="0.2">
      <c r="A27" s="1"/>
      <c r="B27" s="13" t="s">
        <v>122</v>
      </c>
      <c r="C27" s="27"/>
      <c r="D27" s="28">
        <v>4</v>
      </c>
      <c r="E27" s="16" t="str">
        <f t="shared" si="2"/>
        <v>Intermedio</v>
      </c>
      <c r="F27" s="16">
        <f t="shared" si="3"/>
        <v>10</v>
      </c>
      <c r="G27" s="1"/>
      <c r="H27" s="1"/>
      <c r="I27" s="1"/>
      <c r="J27" s="1"/>
      <c r="K27" s="25"/>
      <c r="L27" s="1"/>
      <c r="M27" s="1"/>
      <c r="N27" s="1"/>
      <c r="O27" s="1"/>
      <c r="P27" s="1"/>
      <c r="Q27" s="1"/>
      <c r="R27" s="1"/>
      <c r="S27" s="1"/>
      <c r="T27" s="25"/>
      <c r="U27" s="1"/>
      <c r="V27" s="1"/>
      <c r="W27" s="1"/>
      <c r="X27" s="1"/>
      <c r="Y27" s="1"/>
      <c r="Z27" s="1"/>
    </row>
    <row r="28" spans="1:26" ht="27.75" customHeight="1" x14ac:dyDescent="0.2">
      <c r="A28" s="1"/>
      <c r="B28" s="13" t="s">
        <v>123</v>
      </c>
      <c r="C28" s="27"/>
      <c r="D28" s="28">
        <v>4</v>
      </c>
      <c r="E28" s="16" t="str">
        <f t="shared" si="2"/>
        <v>Intermedio</v>
      </c>
      <c r="F28" s="16">
        <f t="shared" si="3"/>
        <v>10</v>
      </c>
      <c r="G28" s="1"/>
      <c r="H28" s="1"/>
      <c r="I28" s="1"/>
      <c r="J28" s="1"/>
      <c r="K28" s="25"/>
      <c r="L28" s="1"/>
      <c r="M28" s="1"/>
      <c r="N28" s="1"/>
      <c r="O28" s="1"/>
      <c r="P28" s="1"/>
      <c r="Q28" s="1"/>
      <c r="R28" s="1"/>
      <c r="S28" s="1"/>
      <c r="T28" s="25"/>
      <c r="U28" s="1"/>
      <c r="V28" s="1"/>
      <c r="W28" s="1"/>
      <c r="X28" s="1"/>
      <c r="Y28" s="1"/>
      <c r="Z28" s="1"/>
    </row>
    <row r="29" spans="1:26" ht="27.75" customHeight="1" x14ac:dyDescent="0.2">
      <c r="A29" s="1"/>
      <c r="B29" s="13" t="s">
        <v>124</v>
      </c>
      <c r="C29" s="27"/>
      <c r="D29" s="28">
        <v>2</v>
      </c>
      <c r="E29" s="16" t="str">
        <f t="shared" si="2"/>
        <v>Simple</v>
      </c>
      <c r="F29" s="16">
        <f t="shared" si="3"/>
        <v>5</v>
      </c>
      <c r="G29" s="1"/>
      <c r="H29" s="10"/>
      <c r="I29" s="1"/>
      <c r="J29" s="1"/>
      <c r="K29" s="2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.75" customHeight="1" x14ac:dyDescent="0.2">
      <c r="A30" s="1"/>
      <c r="B30" s="29"/>
      <c r="C30" s="96" t="s">
        <v>19</v>
      </c>
      <c r="D30" s="97"/>
      <c r="E30" s="98"/>
      <c r="F30" s="30">
        <f>SUM(F18:F29)</f>
        <v>95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.75" customHeight="1" x14ac:dyDescent="0.2">
      <c r="A31" s="1"/>
      <c r="B31" s="1"/>
      <c r="C31" s="1"/>
      <c r="D31" s="2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.75" customHeight="1" x14ac:dyDescent="0.2">
      <c r="A32" s="10" t="s">
        <v>20</v>
      </c>
      <c r="B32" s="1"/>
      <c r="C32" s="1"/>
      <c r="D32" s="2"/>
      <c r="E32" s="3"/>
      <c r="F32" s="1"/>
      <c r="G32" s="1"/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.75" customHeight="1" x14ac:dyDescent="0.2">
      <c r="A33" s="1"/>
      <c r="B33" s="31"/>
      <c r="C33" s="84" t="s">
        <v>21</v>
      </c>
      <c r="D33" s="94"/>
      <c r="E33" s="95"/>
      <c r="F33" s="20">
        <f>G14+F30</f>
        <v>107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.75" customHeight="1" x14ac:dyDescent="0.2">
      <c r="A34" s="1"/>
      <c r="B34" s="1"/>
      <c r="C34" s="1"/>
      <c r="D34" s="2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.75" customHeight="1" x14ac:dyDescent="0.2">
      <c r="A35" s="10" t="s">
        <v>22</v>
      </c>
      <c r="B35" s="3"/>
      <c r="C35" s="1"/>
      <c r="D35" s="2"/>
      <c r="E35" s="3"/>
      <c r="F35" s="1"/>
      <c r="G35" s="1"/>
      <c r="H35" s="1" t="s">
        <v>28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27.75" customHeight="1" x14ac:dyDescent="0.2">
      <c r="A36" s="1"/>
      <c r="B36" s="12" t="s">
        <v>23</v>
      </c>
      <c r="C36" s="12" t="s">
        <v>24</v>
      </c>
      <c r="D36" s="11" t="s">
        <v>25</v>
      </c>
      <c r="E36" s="11" t="s">
        <v>7</v>
      </c>
      <c r="F36" s="11" t="s">
        <v>26</v>
      </c>
      <c r="G36" s="11" t="s">
        <v>27</v>
      </c>
      <c r="H36" s="36" t="s">
        <v>31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32" t="s">
        <v>29</v>
      </c>
      <c r="C37" s="32" t="s">
        <v>30</v>
      </c>
      <c r="D37" s="33" t="s">
        <v>125</v>
      </c>
      <c r="E37" s="34">
        <v>2</v>
      </c>
      <c r="F37" s="17">
        <v>0</v>
      </c>
      <c r="G37" s="35">
        <f t="shared" ref="G37:G49" si="4">E37*F37</f>
        <v>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2">
      <c r="A38" s="1"/>
      <c r="B38" s="32" t="s">
        <v>32</v>
      </c>
      <c r="C38" s="32" t="s">
        <v>30</v>
      </c>
      <c r="D38" s="33" t="s">
        <v>126</v>
      </c>
      <c r="E38" s="35">
        <v>2</v>
      </c>
      <c r="F38" s="17">
        <v>2</v>
      </c>
      <c r="G38" s="35">
        <f t="shared" si="4"/>
        <v>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32" t="s">
        <v>33</v>
      </c>
      <c r="C39" s="32" t="s">
        <v>30</v>
      </c>
      <c r="D39" s="33" t="s">
        <v>126</v>
      </c>
      <c r="E39" s="35">
        <v>1</v>
      </c>
      <c r="F39" s="17">
        <v>2</v>
      </c>
      <c r="G39" s="35">
        <f t="shared" si="4"/>
        <v>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.75" customHeight="1" x14ac:dyDescent="0.2">
      <c r="A40" s="1"/>
      <c r="B40" s="32" t="s">
        <v>34</v>
      </c>
      <c r="C40" s="32" t="s">
        <v>30</v>
      </c>
      <c r="D40" s="33" t="s">
        <v>127</v>
      </c>
      <c r="E40" s="35">
        <v>1</v>
      </c>
      <c r="F40" s="17">
        <v>0</v>
      </c>
      <c r="G40" s="35">
        <f t="shared" si="4"/>
        <v>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.75" customHeight="1" x14ac:dyDescent="0.2">
      <c r="A41" s="1"/>
      <c r="B41" s="32" t="s">
        <v>35</v>
      </c>
      <c r="C41" s="32" t="s">
        <v>30</v>
      </c>
      <c r="D41" s="33" t="s">
        <v>127</v>
      </c>
      <c r="E41" s="34">
        <v>1</v>
      </c>
      <c r="F41" s="17">
        <v>0</v>
      </c>
      <c r="G41" s="35">
        <f t="shared" si="4"/>
        <v>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7.75" customHeight="1" x14ac:dyDescent="0.2">
      <c r="A42" s="1"/>
      <c r="B42" s="32" t="s">
        <v>36</v>
      </c>
      <c r="C42" s="32" t="s">
        <v>30</v>
      </c>
      <c r="D42" s="33" t="s">
        <v>128</v>
      </c>
      <c r="E42" s="34">
        <v>0.5</v>
      </c>
      <c r="F42" s="17">
        <v>0</v>
      </c>
      <c r="G42" s="35">
        <f t="shared" si="4"/>
        <v>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.75" customHeight="1" x14ac:dyDescent="0.2">
      <c r="A43" s="1"/>
      <c r="B43" s="32" t="s">
        <v>37</v>
      </c>
      <c r="C43" s="32" t="s">
        <v>30</v>
      </c>
      <c r="D43" s="33" t="s">
        <v>129</v>
      </c>
      <c r="E43" s="34">
        <v>0.5</v>
      </c>
      <c r="F43" s="17">
        <v>4</v>
      </c>
      <c r="G43" s="35">
        <f t="shared" si="4"/>
        <v>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.75" customHeight="1" x14ac:dyDescent="0.2">
      <c r="A44" s="1"/>
      <c r="B44" s="32" t="s">
        <v>38</v>
      </c>
      <c r="C44" s="32" t="s">
        <v>30</v>
      </c>
      <c r="D44" s="33" t="s">
        <v>125</v>
      </c>
      <c r="E44" s="34">
        <v>2</v>
      </c>
      <c r="F44" s="17">
        <v>0</v>
      </c>
      <c r="G44" s="35">
        <f t="shared" si="4"/>
        <v>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.75" customHeight="1" x14ac:dyDescent="0.2">
      <c r="A45" s="1"/>
      <c r="B45" s="32" t="s">
        <v>39</v>
      </c>
      <c r="C45" s="32" t="s">
        <v>30</v>
      </c>
      <c r="D45" s="33" t="s">
        <v>127</v>
      </c>
      <c r="E45" s="34">
        <v>1</v>
      </c>
      <c r="F45" s="17">
        <v>0</v>
      </c>
      <c r="G45" s="35">
        <f t="shared" si="4"/>
        <v>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32" t="s">
        <v>40</v>
      </c>
      <c r="C46" s="32" t="s">
        <v>30</v>
      </c>
      <c r="D46" s="33" t="s">
        <v>130</v>
      </c>
      <c r="E46" s="34">
        <v>1</v>
      </c>
      <c r="F46" s="17">
        <v>0</v>
      </c>
      <c r="G46" s="35">
        <f t="shared" si="4"/>
        <v>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32" t="s">
        <v>41</v>
      </c>
      <c r="C47" s="32" t="s">
        <v>30</v>
      </c>
      <c r="D47" s="33" t="s">
        <v>129</v>
      </c>
      <c r="E47" s="35">
        <v>1</v>
      </c>
      <c r="F47" s="17">
        <v>3</v>
      </c>
      <c r="G47" s="35">
        <f t="shared" si="4"/>
        <v>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32" t="s">
        <v>42</v>
      </c>
      <c r="C48" s="32" t="s">
        <v>30</v>
      </c>
      <c r="D48" s="33" t="s">
        <v>127</v>
      </c>
      <c r="E48" s="35">
        <v>1</v>
      </c>
      <c r="F48" s="17">
        <v>0</v>
      </c>
      <c r="G48" s="35">
        <f t="shared" si="4"/>
        <v>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.75" customHeight="1" x14ac:dyDescent="0.2">
      <c r="A49" s="1"/>
      <c r="B49" s="32" t="s">
        <v>43</v>
      </c>
      <c r="C49" s="32" t="s">
        <v>30</v>
      </c>
      <c r="D49" s="33" t="s">
        <v>129</v>
      </c>
      <c r="E49" s="34">
        <v>1</v>
      </c>
      <c r="F49" s="17">
        <v>4</v>
      </c>
      <c r="G49" s="35">
        <f t="shared" si="4"/>
        <v>4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.75" customHeight="1" x14ac:dyDescent="0.2">
      <c r="A50" s="1"/>
      <c r="B50" s="84" t="s">
        <v>44</v>
      </c>
      <c r="C50" s="85"/>
      <c r="D50" s="85"/>
      <c r="E50" s="85"/>
      <c r="F50" s="86"/>
      <c r="G50" s="37">
        <f>SUM(G37:G49)</f>
        <v>15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7.75" customHeight="1" x14ac:dyDescent="0.2">
      <c r="A51" s="1"/>
      <c r="B51" s="84" t="s">
        <v>45</v>
      </c>
      <c r="C51" s="85"/>
      <c r="D51" s="85"/>
      <c r="E51" s="85"/>
      <c r="F51" s="86"/>
      <c r="G51" s="30">
        <f>0.6+(0.01*G50)</f>
        <v>0.75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7.75" customHeight="1" x14ac:dyDescent="0.2">
      <c r="A52" s="1"/>
      <c r="B52" s="21"/>
      <c r="C52" s="3"/>
      <c r="D52" s="3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0" t="s">
        <v>46</v>
      </c>
      <c r="B53" s="38"/>
      <c r="C53" s="38"/>
      <c r="D53" s="39"/>
      <c r="E53" s="38"/>
      <c r="F53" s="38"/>
      <c r="G53" s="38"/>
      <c r="H53" s="1" t="s">
        <v>50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2">
      <c r="A54" s="1"/>
      <c r="B54" s="12" t="s">
        <v>47</v>
      </c>
      <c r="C54" s="12" t="s">
        <v>48</v>
      </c>
      <c r="D54" s="11" t="s">
        <v>49</v>
      </c>
      <c r="E54" s="11" t="s">
        <v>7</v>
      </c>
      <c r="F54" s="11" t="s">
        <v>26</v>
      </c>
      <c r="G54" s="11" t="s">
        <v>27</v>
      </c>
      <c r="H54" s="36" t="s">
        <v>31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40" t="s">
        <v>51</v>
      </c>
      <c r="C55" s="32" t="s">
        <v>52</v>
      </c>
      <c r="D55" s="33" t="s">
        <v>135</v>
      </c>
      <c r="E55" s="34">
        <v>1.5</v>
      </c>
      <c r="F55" s="17">
        <v>3</v>
      </c>
      <c r="G55" s="35">
        <f t="shared" ref="G55:G62" si="5">E55*F55</f>
        <v>4.5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40" t="s">
        <v>53</v>
      </c>
      <c r="C56" s="32" t="s">
        <v>52</v>
      </c>
      <c r="D56" s="33" t="s">
        <v>136</v>
      </c>
      <c r="E56" s="34">
        <v>0.5</v>
      </c>
      <c r="F56" s="17">
        <v>2</v>
      </c>
      <c r="G56" s="35">
        <f t="shared" si="5"/>
        <v>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40" t="s">
        <v>54</v>
      </c>
      <c r="C57" s="32" t="s">
        <v>52</v>
      </c>
      <c r="D57" s="33" t="s">
        <v>137</v>
      </c>
      <c r="E57" s="34">
        <v>1</v>
      </c>
      <c r="F57" s="17">
        <v>3</v>
      </c>
      <c r="G57" s="35">
        <f t="shared" si="5"/>
        <v>3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7.75" customHeight="1" x14ac:dyDescent="0.2">
      <c r="A58" s="1"/>
      <c r="B58" s="40" t="s">
        <v>55</v>
      </c>
      <c r="C58" s="32" t="s">
        <v>52</v>
      </c>
      <c r="D58" s="33" t="s">
        <v>138</v>
      </c>
      <c r="E58" s="34">
        <v>0.5</v>
      </c>
      <c r="F58" s="17">
        <v>3</v>
      </c>
      <c r="G58" s="35">
        <f t="shared" si="5"/>
        <v>1.5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40" t="s">
        <v>56</v>
      </c>
      <c r="C59" s="32" t="s">
        <v>57</v>
      </c>
      <c r="D59" s="33" t="s">
        <v>131</v>
      </c>
      <c r="E59" s="34">
        <v>1</v>
      </c>
      <c r="F59" s="17">
        <v>4</v>
      </c>
      <c r="G59" s="35">
        <f t="shared" si="5"/>
        <v>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40" t="s">
        <v>58</v>
      </c>
      <c r="C60" s="32" t="s">
        <v>59</v>
      </c>
      <c r="D60" s="33" t="s">
        <v>132</v>
      </c>
      <c r="E60" s="34">
        <v>2</v>
      </c>
      <c r="F60" s="17">
        <v>5</v>
      </c>
      <c r="G60" s="35">
        <f t="shared" si="5"/>
        <v>10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40" t="s">
        <v>60</v>
      </c>
      <c r="C61" s="32" t="s">
        <v>61</v>
      </c>
      <c r="D61" s="33" t="s">
        <v>133</v>
      </c>
      <c r="E61" s="34">
        <v>-1</v>
      </c>
      <c r="F61" s="17">
        <v>5</v>
      </c>
      <c r="G61" s="35">
        <f t="shared" si="5"/>
        <v>-5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.75" customHeight="1" x14ac:dyDescent="0.2">
      <c r="A62" s="1"/>
      <c r="B62" s="40" t="s">
        <v>62</v>
      </c>
      <c r="C62" s="32" t="s">
        <v>63</v>
      </c>
      <c r="D62" s="33" t="s">
        <v>134</v>
      </c>
      <c r="E62" s="34">
        <v>-1</v>
      </c>
      <c r="F62" s="17">
        <v>3</v>
      </c>
      <c r="G62" s="35">
        <f t="shared" si="5"/>
        <v>-3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.75" customHeight="1" x14ac:dyDescent="0.2">
      <c r="A63" s="1"/>
      <c r="B63" s="84" t="s">
        <v>64</v>
      </c>
      <c r="C63" s="85"/>
      <c r="D63" s="85"/>
      <c r="E63" s="85"/>
      <c r="F63" s="86"/>
      <c r="G63" s="11">
        <f>SUM(G55:G62)</f>
        <v>16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.75" customHeight="1" x14ac:dyDescent="0.2">
      <c r="A64" s="1"/>
      <c r="B64" s="84" t="s">
        <v>65</v>
      </c>
      <c r="C64" s="85"/>
      <c r="D64" s="85"/>
      <c r="E64" s="85"/>
      <c r="F64" s="86"/>
      <c r="G64" s="11">
        <f>1.4 + (-0.03*G63)</f>
        <v>0.91999999999999993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7.75" customHeight="1" x14ac:dyDescent="0.2">
      <c r="A65" s="1"/>
      <c r="B65" s="19"/>
      <c r="C65" s="41"/>
      <c r="D65" s="42"/>
      <c r="E65" s="41"/>
      <c r="F65" s="43" t="s">
        <v>66</v>
      </c>
      <c r="G65" s="11">
        <f>COUNTIF($F$55:$F$60,"&lt;3")+COUNTIF($F$61:$F$62,"&gt;3")</f>
        <v>2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.75" customHeight="1" x14ac:dyDescent="0.2">
      <c r="A66" s="1"/>
      <c r="B66" s="21"/>
      <c r="C66" s="3"/>
      <c r="D66" s="3"/>
      <c r="E66" s="3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.75" customHeight="1" x14ac:dyDescent="0.2">
      <c r="A67" s="10" t="s">
        <v>67</v>
      </c>
      <c r="B67" s="1"/>
      <c r="C67" s="1"/>
      <c r="D67" s="2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7.75" customHeight="1" x14ac:dyDescent="0.2">
      <c r="A68" s="1"/>
      <c r="B68" s="87" t="s">
        <v>68</v>
      </c>
      <c r="C68" s="88"/>
      <c r="D68" s="88"/>
      <c r="E68" s="88"/>
      <c r="F68" s="89"/>
      <c r="G68" s="44">
        <f>F33*G51*G64</f>
        <v>73.83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.75" customHeight="1" x14ac:dyDescent="0.2">
      <c r="A69" s="1"/>
      <c r="B69" s="1"/>
      <c r="C69" s="1"/>
      <c r="D69" s="2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45" t="s">
        <v>69</v>
      </c>
      <c r="B70" s="1"/>
      <c r="C70" s="1"/>
      <c r="D70" s="2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.75" customHeight="1" x14ac:dyDescent="0.2">
      <c r="A71" s="1"/>
      <c r="B71" s="12" t="s">
        <v>70</v>
      </c>
      <c r="C71" s="12" t="s">
        <v>71</v>
      </c>
      <c r="D71" s="74" t="s">
        <v>72</v>
      </c>
      <c r="E71" s="3"/>
      <c r="F71" s="1"/>
      <c r="G71" s="12" t="s">
        <v>73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.75" customHeight="1" x14ac:dyDescent="0.2">
      <c r="A72" s="1"/>
      <c r="B72" s="46">
        <v>20</v>
      </c>
      <c r="C72" s="46">
        <f>IF($G$65&gt;=5,36,IF(AND(G$65&gt;2,$G$65&lt;=4),28, IF(AND($G$65&gt;=0,$G$65&lt;=2),20,"error")))</f>
        <v>20</v>
      </c>
      <c r="D72" s="69">
        <f>IF($G$65&gt;=5,$G$72*(36/20),IF(AND($G$65&gt;2,$G$65&lt;=4),$G$72*(28/20), IF(AND($G$65&gt;=0,$G$65&lt;=2),$G$72,"error")))</f>
        <v>2.5</v>
      </c>
      <c r="E72" s="3"/>
      <c r="F72" s="1"/>
      <c r="G72" s="47">
        <v>2.5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.75" customHeight="1" x14ac:dyDescent="0.2">
      <c r="A73" s="48" t="s">
        <v>75</v>
      </c>
      <c r="B73" s="90" t="s">
        <v>74</v>
      </c>
      <c r="C73" s="91"/>
      <c r="D73" s="92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.75" customHeight="1" x14ac:dyDescent="0.2">
      <c r="A74" s="48" t="s">
        <v>76</v>
      </c>
      <c r="B74" s="46">
        <f t="shared" ref="B74:D74" si="6">$G$68*B72</f>
        <v>1476.6</v>
      </c>
      <c r="C74" s="46">
        <f t="shared" si="6"/>
        <v>1476.6</v>
      </c>
      <c r="D74" s="70">
        <f t="shared" si="6"/>
        <v>184.57499999999999</v>
      </c>
      <c r="E74" s="3"/>
      <c r="F74" s="1"/>
      <c r="G74" s="12" t="s">
        <v>89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.75" customHeight="1" x14ac:dyDescent="0.2">
      <c r="A75" s="1"/>
      <c r="B75" s="49">
        <f>B74/(22*G75)</f>
        <v>19.176623376623375</v>
      </c>
      <c r="C75" s="49">
        <f>C74/(22*G75)</f>
        <v>19.176623376623375</v>
      </c>
      <c r="D75" s="71">
        <f>D74/(22*G75)</f>
        <v>2.3970779220779219</v>
      </c>
      <c r="E75" s="3"/>
      <c r="F75" s="1"/>
      <c r="G75" s="47">
        <v>3.5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.75" customHeight="1" x14ac:dyDescent="0.2">
      <c r="A76" s="1"/>
      <c r="B76" s="1"/>
      <c r="C76" s="1"/>
      <c r="D76" s="2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.75" customHeight="1" x14ac:dyDescent="0.2">
      <c r="A77" s="10" t="s">
        <v>91</v>
      </c>
      <c r="B77" s="1"/>
      <c r="C77" s="1"/>
      <c r="D77" s="2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.75" customHeight="1" x14ac:dyDescent="0.2">
      <c r="A78" s="1"/>
      <c r="B78" s="50" t="s">
        <v>93</v>
      </c>
      <c r="C78" s="51"/>
      <c r="D78" s="42"/>
      <c r="E78" s="41"/>
      <c r="F78" s="5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.75" customHeight="1" x14ac:dyDescent="0.2">
      <c r="A79" s="1"/>
      <c r="B79" s="31" t="s">
        <v>77</v>
      </c>
      <c r="C79" s="11" t="s">
        <v>78</v>
      </c>
      <c r="D79" s="44" t="s">
        <v>94</v>
      </c>
      <c r="E79" s="44" t="s">
        <v>95</v>
      </c>
      <c r="F79" s="72" t="s">
        <v>96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.75" customHeight="1" x14ac:dyDescent="0.2">
      <c r="A80" s="1"/>
      <c r="B80" s="53" t="s">
        <v>82</v>
      </c>
      <c r="C80" s="80">
        <v>0.4</v>
      </c>
      <c r="D80" s="49">
        <f>+B74</f>
        <v>1476.6</v>
      </c>
      <c r="E80" s="49">
        <f>+C74</f>
        <v>1476.6</v>
      </c>
      <c r="F80" s="73">
        <f>+D74</f>
        <v>184.57499999999999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.75" customHeight="1" x14ac:dyDescent="0.2">
      <c r="A81" s="1"/>
      <c r="B81" s="53" t="s">
        <v>83</v>
      </c>
      <c r="C81" s="80">
        <f>1-C80</f>
        <v>0.6</v>
      </c>
      <c r="D81" s="46">
        <f>+D80*1.5</f>
        <v>2214.8999999999996</v>
      </c>
      <c r="E81" s="46">
        <f t="shared" ref="E81:F81" si="7">+E80*1.5</f>
        <v>2214.8999999999996</v>
      </c>
      <c r="F81" s="70">
        <f t="shared" si="7"/>
        <v>276.86249999999995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.75" customHeight="1" x14ac:dyDescent="0.2">
      <c r="A82" s="1"/>
      <c r="B82" s="54"/>
      <c r="C82" s="80">
        <f>SUM(C80:C81)</f>
        <v>1</v>
      </c>
      <c r="D82" s="49">
        <f>+D80+D81</f>
        <v>3691.4999999999995</v>
      </c>
      <c r="E82" s="49">
        <f t="shared" ref="E82:F82" si="8">+E80+E81</f>
        <v>3691.4999999999995</v>
      </c>
      <c r="F82" s="73">
        <f t="shared" si="8"/>
        <v>461.43749999999994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.75" customHeight="1" x14ac:dyDescent="0.2">
      <c r="A83" s="10" t="s">
        <v>92</v>
      </c>
      <c r="B83" s="1"/>
      <c r="C83" s="1"/>
      <c r="D83" s="1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7.75" customHeight="1" x14ac:dyDescent="0.2">
      <c r="A84" s="1"/>
      <c r="B84" s="50" t="s">
        <v>90</v>
      </c>
      <c r="C84" s="51"/>
      <c r="D84" s="42"/>
      <c r="E84" s="41"/>
      <c r="F84" s="5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.75" customHeight="1" x14ac:dyDescent="0.2">
      <c r="A85" s="1"/>
      <c r="B85" s="31" t="s">
        <v>77</v>
      </c>
      <c r="C85" s="11" t="s">
        <v>78</v>
      </c>
      <c r="D85" s="44" t="s">
        <v>79</v>
      </c>
      <c r="E85" s="44" t="s">
        <v>80</v>
      </c>
      <c r="F85" s="72" t="s">
        <v>81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7.75" customHeight="1" x14ac:dyDescent="0.2">
      <c r="A86" s="1"/>
      <c r="B86" s="53" t="s">
        <v>82</v>
      </c>
      <c r="C86" s="80">
        <v>0.4</v>
      </c>
      <c r="D86" s="49">
        <f>$C86/$C$86*B$75</f>
        <v>19.176623376623375</v>
      </c>
      <c r="E86" s="49">
        <f t="shared" ref="E86:F88" si="9">$C86/$C$86*C$75</f>
        <v>19.176623376623375</v>
      </c>
      <c r="F86" s="73">
        <f t="shared" si="9"/>
        <v>2.3970779220779219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7.75" customHeight="1" x14ac:dyDescent="0.2">
      <c r="A87" s="1"/>
      <c r="B87" s="53" t="s">
        <v>83</v>
      </c>
      <c r="C87" s="80">
        <f>1-C86</f>
        <v>0.6</v>
      </c>
      <c r="D87" s="46">
        <f>$C87/$C$86*B$75</f>
        <v>28.764935064935059</v>
      </c>
      <c r="E87" s="46">
        <f t="shared" si="9"/>
        <v>28.764935064935059</v>
      </c>
      <c r="F87" s="70">
        <f t="shared" si="9"/>
        <v>3.5956168831168824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7.75" customHeight="1" x14ac:dyDescent="0.2">
      <c r="A88" s="1"/>
      <c r="B88" s="54"/>
      <c r="C88" s="80">
        <f>SUM(C86:C87)</f>
        <v>1</v>
      </c>
      <c r="D88" s="49">
        <f>$C88/$C$86*B$75</f>
        <v>47.941558441558442</v>
      </c>
      <c r="E88" s="49">
        <f t="shared" si="9"/>
        <v>47.941558441558442</v>
      </c>
      <c r="F88" s="73">
        <f t="shared" si="9"/>
        <v>5.9926948051948052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7.75" customHeight="1" x14ac:dyDescent="0.2">
      <c r="A89" s="10" t="s">
        <v>84</v>
      </c>
      <c r="B89" s="1"/>
      <c r="C89" s="1"/>
      <c r="D89" s="2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7.75" customHeight="1" x14ac:dyDescent="0.2">
      <c r="A90" s="1"/>
      <c r="B90" s="17">
        <v>1</v>
      </c>
      <c r="C90" s="1"/>
      <c r="D90" s="2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7.75" customHeight="1" x14ac:dyDescent="0.2">
      <c r="A91" s="10" t="s">
        <v>85</v>
      </c>
      <c r="B91" s="1"/>
      <c r="C91" s="1"/>
      <c r="D91" s="2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7.75" customHeight="1" x14ac:dyDescent="0.2">
      <c r="A92" s="55"/>
      <c r="B92" s="44" t="s">
        <v>86</v>
      </c>
      <c r="C92" s="44" t="s">
        <v>87</v>
      </c>
      <c r="D92" s="72" t="s">
        <v>88</v>
      </c>
      <c r="E92" s="3"/>
      <c r="F92" s="1"/>
      <c r="G92" s="1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5.75" customHeight="1" x14ac:dyDescent="0.2">
      <c r="A93" s="55"/>
      <c r="B93" s="56">
        <f>$D$88/$B$90</f>
        <v>47.941558441558442</v>
      </c>
      <c r="C93" s="56">
        <f>$E$88/$B$90</f>
        <v>47.941558441558442</v>
      </c>
      <c r="D93" s="75">
        <f>$F$88/$B$90</f>
        <v>5.9926948051948052</v>
      </c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5.75" customHeight="1" x14ac:dyDescent="0.2">
      <c r="A94" s="58" t="s">
        <v>98</v>
      </c>
      <c r="B94" s="55"/>
      <c r="C94" s="55"/>
      <c r="D94" s="55"/>
      <c r="E94" s="57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5.75" customHeight="1" x14ac:dyDescent="0.2">
      <c r="A95" s="59">
        <v>46265</v>
      </c>
      <c r="B95" s="44" t="s">
        <v>97</v>
      </c>
      <c r="C95" s="44" t="s">
        <v>97</v>
      </c>
      <c r="D95" s="72" t="s">
        <v>97</v>
      </c>
      <c r="E95" s="57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5.75" customHeight="1" x14ac:dyDescent="0.2">
      <c r="A96" s="55"/>
      <c r="B96" s="60">
        <f>EDATE(A95,INT(B93)) + (B93-INT(B93))*DAY(EDATE(A95,INT(B93)+1)-EDATE(A95,INT(B93)))</f>
        <v>47724.188311688311</v>
      </c>
      <c r="C96" s="60">
        <f>EDATE(A95,INT(C93)) + (C93-INT(C93))*DAY(EDATE(A95,INT(C93)+1)-EDATE(A95,INT(C93)))</f>
        <v>47724.188311688311</v>
      </c>
      <c r="D96" s="76">
        <f>EDATE(A95,INT(D93)) + (D93-INT(D93))*DAY(EDATE(A95,INT(D93)+1)-EDATE(A95,INT(D93)))</f>
        <v>46445.795454545456</v>
      </c>
      <c r="E96" s="57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5.75" customHeight="1" x14ac:dyDescent="0.2">
      <c r="A97" s="55"/>
      <c r="B97" s="55"/>
      <c r="C97" s="55"/>
      <c r="D97" s="55"/>
      <c r="E97" s="57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5.75" customHeight="1" x14ac:dyDescent="0.2">
      <c r="A98" s="55"/>
      <c r="B98" s="55"/>
      <c r="C98" s="55"/>
      <c r="D98" s="55"/>
      <c r="E98" s="57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5.75" customHeight="1" x14ac:dyDescent="0.2">
      <c r="A99" s="55"/>
      <c r="B99" s="55"/>
      <c r="C99" s="55"/>
      <c r="D99" s="55"/>
      <c r="E99" s="57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5.75" customHeight="1" x14ac:dyDescent="0.2">
      <c r="A100" s="55"/>
      <c r="B100" s="55"/>
      <c r="C100" s="55"/>
      <c r="D100" s="55"/>
      <c r="E100" s="57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5.75" customHeight="1" x14ac:dyDescent="0.2">
      <c r="A101" s="55"/>
      <c r="B101" s="55"/>
      <c r="C101" s="55"/>
      <c r="D101" s="55"/>
      <c r="E101" s="57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5.75" customHeight="1" x14ac:dyDescent="0.2">
      <c r="A102" s="55"/>
      <c r="B102" s="55"/>
      <c r="C102" s="55"/>
      <c r="D102" s="55"/>
      <c r="E102" s="57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5.75" customHeight="1" x14ac:dyDescent="0.2">
      <c r="A103" s="55"/>
      <c r="B103" s="55"/>
      <c r="C103" s="55"/>
      <c r="D103" s="55"/>
      <c r="E103" s="57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5.75" customHeight="1" x14ac:dyDescent="0.2">
      <c r="A104" s="55"/>
      <c r="B104" s="55"/>
      <c r="C104" s="55"/>
      <c r="D104" s="55"/>
      <c r="E104" s="57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5.75" customHeight="1" x14ac:dyDescent="0.2">
      <c r="A105" s="55"/>
      <c r="B105" s="55"/>
      <c r="C105" s="55"/>
      <c r="D105" s="55"/>
      <c r="E105" s="57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5.75" customHeight="1" x14ac:dyDescent="0.2">
      <c r="A106" s="55"/>
      <c r="B106" s="55"/>
      <c r="C106" s="55"/>
      <c r="D106" s="55"/>
      <c r="E106" s="57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5.75" customHeight="1" x14ac:dyDescent="0.2">
      <c r="A107" s="55"/>
      <c r="B107" s="55"/>
      <c r="C107" s="55"/>
      <c r="D107" s="55"/>
      <c r="E107" s="57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5.75" customHeight="1" x14ac:dyDescent="0.2">
      <c r="A108" s="55"/>
      <c r="B108" s="55"/>
      <c r="C108" s="55"/>
      <c r="D108" s="55"/>
      <c r="E108" s="57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5.75" customHeight="1" x14ac:dyDescent="0.2">
      <c r="A109" s="1"/>
      <c r="B109" s="55"/>
      <c r="C109" s="55"/>
      <c r="D109" s="55"/>
      <c r="E109" s="57"/>
      <c r="F109" s="55"/>
      <c r="G109" s="5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2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2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2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2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2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2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2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2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2">
      <c r="A1012" s="1"/>
      <c r="B1012" s="1"/>
      <c r="C1012" s="1"/>
      <c r="D1012" s="2"/>
      <c r="E1012" s="3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2">
      <c r="A1013" s="1"/>
      <c r="B1013" s="1"/>
      <c r="C1013" s="1"/>
      <c r="D1013" s="2"/>
      <c r="E1013" s="3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" customHeight="1" x14ac:dyDescent="0.2">
      <c r="B1014" s="1"/>
      <c r="C1014" s="1"/>
      <c r="D1014" s="2"/>
      <c r="E1014" s="3"/>
      <c r="F1014" s="1"/>
      <c r="G1014" s="1"/>
    </row>
  </sheetData>
  <mergeCells count="10">
    <mergeCell ref="B63:F63"/>
    <mergeCell ref="B64:F64"/>
    <mergeCell ref="B68:F68"/>
    <mergeCell ref="B73:D73"/>
    <mergeCell ref="B2:G2"/>
    <mergeCell ref="C14:F14"/>
    <mergeCell ref="C30:E30"/>
    <mergeCell ref="C33:E33"/>
    <mergeCell ref="B50:F50"/>
    <mergeCell ref="B51:F51"/>
  </mergeCells>
  <dataValidations count="2">
    <dataValidation type="list" allowBlank="1" showErrorMessage="1" sqref="C10:C13" xr:uid="{AEB5FB46-97B8-4911-9FEB-000BC5789E2B}">
      <formula1>"Simple,Intermedio,Complejo"</formula1>
    </dataValidation>
    <dataValidation type="decimal" allowBlank="1" showInputMessage="1" showErrorMessage="1" prompt="Entre 1 y 9 personas." sqref="B90" xr:uid="{C4751644-F908-4E91-A213-7A9514786232}">
      <formula1>1</formula1>
      <formula2>9</formula2>
    </dataValidation>
  </dataValidations>
  <hyperlinks>
    <hyperlink ref="H36" r:id="rId1" location="v=onepage&amp;q=e7%20part-time%20members&amp;f=false" xr:uid="{1E92625D-6B6F-40FD-A048-BCD409FC1427}"/>
    <hyperlink ref="H54" r:id="rId2" location="v=onepage&amp;q=e7%20part-time%20members&amp;f=false" xr:uid="{A409B418-3B98-499B-8486-4F0F3FCD1B4B}"/>
  </hyperlinks>
  <pageMargins left="0.75" right="0.75" top="1" bottom="1" header="0" footer="0"/>
  <pageSetup orientation="portrait"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5B48-B86A-44A8-BE4A-FE5784D3445C}">
  <dimension ref="A1:Z1014"/>
  <sheetViews>
    <sheetView tabSelected="1" topLeftCell="A87" zoomScale="70" zoomScaleNormal="70" workbookViewId="0">
      <selection activeCell="A95" sqref="A95"/>
    </sheetView>
  </sheetViews>
  <sheetFormatPr baseColWidth="10" defaultColWidth="12.5703125" defaultRowHeight="15" customHeight="1" x14ac:dyDescent="0.2"/>
  <cols>
    <col min="1" max="1" width="27.7109375" customWidth="1"/>
    <col min="2" max="2" width="52.5703125" bestFit="1" customWidth="1"/>
    <col min="3" max="3" width="35.42578125" customWidth="1"/>
    <col min="4" max="4" width="38.5703125" customWidth="1"/>
    <col min="5" max="5" width="13.5703125" customWidth="1"/>
    <col min="6" max="6" width="16.140625" customWidth="1"/>
    <col min="7" max="7" width="16.7109375" customWidth="1"/>
    <col min="8" max="8" width="34.42578125" customWidth="1"/>
    <col min="9" max="9" width="10.5703125" customWidth="1"/>
    <col min="10" max="10" width="13.7109375" customWidth="1"/>
    <col min="11" max="26" width="9.140625" customWidth="1"/>
  </cols>
  <sheetData>
    <row r="1" spans="1:26" ht="27.75" customHeight="1" x14ac:dyDescent="0.2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 x14ac:dyDescent="0.2">
      <c r="A2" s="4"/>
      <c r="B2" s="93" t="s">
        <v>0</v>
      </c>
      <c r="C2" s="94"/>
      <c r="D2" s="94"/>
      <c r="E2" s="94"/>
      <c r="F2" s="94"/>
      <c r="G2" s="95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7.75" customHeight="1" x14ac:dyDescent="0.2">
      <c r="A3" s="4"/>
      <c r="B3" s="61" t="s">
        <v>1</v>
      </c>
      <c r="C3" s="77" t="s">
        <v>101</v>
      </c>
      <c r="D3" s="6"/>
      <c r="E3" s="6"/>
      <c r="F3" s="6"/>
      <c r="G3" s="7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.75" customHeight="1" x14ac:dyDescent="0.2">
      <c r="A4" s="4"/>
      <c r="B4" s="61" t="s">
        <v>2</v>
      </c>
      <c r="C4" s="78" t="s">
        <v>102</v>
      </c>
      <c r="D4" s="62"/>
      <c r="E4" s="62"/>
      <c r="F4" s="62"/>
      <c r="G4" s="7"/>
      <c r="H4" s="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7.75" customHeight="1" x14ac:dyDescent="0.2">
      <c r="A5" s="4"/>
      <c r="B5" s="63" t="s">
        <v>99</v>
      </c>
      <c r="C5" s="79" t="s">
        <v>139</v>
      </c>
      <c r="D5" s="64"/>
      <c r="E5" s="64"/>
      <c r="F5" s="64"/>
      <c r="G5" s="65"/>
      <c r="H5" s="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7.75" customHeight="1" x14ac:dyDescent="0.2">
      <c r="A6" s="4"/>
      <c r="B6" s="66" t="s">
        <v>100</v>
      </c>
      <c r="C6" s="81">
        <v>46289</v>
      </c>
      <c r="D6" s="67"/>
      <c r="E6" s="67"/>
      <c r="F6" s="67"/>
      <c r="G6" s="68"/>
      <c r="H6" s="6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7.75" customHeight="1" x14ac:dyDescent="0.2">
      <c r="A7" s="1"/>
      <c r="B7" s="8"/>
      <c r="C7" s="1"/>
      <c r="D7" s="9"/>
      <c r="E7" s="9"/>
      <c r="F7" s="9"/>
      <c r="G7" s="9"/>
      <c r="H7" s="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75" customHeight="1" x14ac:dyDescent="0.2">
      <c r="A8" s="1"/>
      <c r="B8" s="1"/>
      <c r="C8" s="1"/>
      <c r="D8" s="2"/>
      <c r="E8" s="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0" t="s">
        <v>3</v>
      </c>
      <c r="B9" s="11" t="s">
        <v>4</v>
      </c>
      <c r="C9" s="12" t="s">
        <v>5</v>
      </c>
      <c r="D9" s="12" t="s">
        <v>6</v>
      </c>
      <c r="E9" s="11" t="s">
        <v>7</v>
      </c>
      <c r="F9" s="11" t="s">
        <v>8</v>
      </c>
      <c r="G9" s="11" t="s">
        <v>9</v>
      </c>
      <c r="H9" s="9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7.75" customHeight="1" x14ac:dyDescent="0.2">
      <c r="A10" s="1"/>
      <c r="B10" s="13" t="s">
        <v>110</v>
      </c>
      <c r="C10" s="14" t="s">
        <v>10</v>
      </c>
      <c r="D10" s="15" t="s">
        <v>104</v>
      </c>
      <c r="E10" s="16">
        <f t="shared" ref="E10:E13" si="0">IF(C10="Simple",1,IF(C10="Intermedio",2,IF(C10="Complejo",3,"error")))</f>
        <v>3</v>
      </c>
      <c r="F10" s="17">
        <v>1</v>
      </c>
      <c r="G10" s="16">
        <f t="shared" ref="G10:G13" si="1">E10*F10</f>
        <v>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75" customHeight="1" x14ac:dyDescent="0.2">
      <c r="A11" s="1"/>
      <c r="B11" s="13" t="s">
        <v>103</v>
      </c>
      <c r="C11" s="14" t="s">
        <v>11</v>
      </c>
      <c r="D11" s="15" t="s">
        <v>105</v>
      </c>
      <c r="E11" s="16">
        <f t="shared" si="0"/>
        <v>2</v>
      </c>
      <c r="F11" s="17">
        <v>1</v>
      </c>
      <c r="G11" s="16">
        <f t="shared" si="1"/>
        <v>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 x14ac:dyDescent="0.2">
      <c r="A12" s="1"/>
      <c r="B12" s="13" t="s">
        <v>111</v>
      </c>
      <c r="C12" s="14" t="s">
        <v>10</v>
      </c>
      <c r="D12" s="15" t="s">
        <v>112</v>
      </c>
      <c r="E12" s="16">
        <f t="shared" si="0"/>
        <v>3</v>
      </c>
      <c r="F12" s="17">
        <v>2</v>
      </c>
      <c r="G12" s="16">
        <f t="shared" si="1"/>
        <v>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75" customHeight="1" x14ac:dyDescent="0.2">
      <c r="A13" s="1"/>
      <c r="B13" s="13" t="s">
        <v>107</v>
      </c>
      <c r="C13" s="14" t="s">
        <v>12</v>
      </c>
      <c r="D13" s="15" t="s">
        <v>106</v>
      </c>
      <c r="E13" s="16">
        <f t="shared" si="0"/>
        <v>1</v>
      </c>
      <c r="F13" s="17">
        <v>1</v>
      </c>
      <c r="G13" s="16">
        <f t="shared" si="1"/>
        <v>1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75" customHeight="1" x14ac:dyDescent="0.2">
      <c r="A14" s="1"/>
      <c r="B14" s="18"/>
      <c r="C14" s="84" t="s">
        <v>13</v>
      </c>
      <c r="D14" s="94"/>
      <c r="E14" s="94"/>
      <c r="F14" s="95"/>
      <c r="G14" s="20">
        <f>SUM(G10:G13)</f>
        <v>12</v>
      </c>
      <c r="H14" s="1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75" customHeight="1" x14ac:dyDescent="0.2">
      <c r="A15" s="1"/>
      <c r="B15" s="10"/>
      <c r="C15" s="21"/>
      <c r="D15" s="3"/>
      <c r="E15" s="3"/>
      <c r="F15" s="3"/>
      <c r="G15" s="22"/>
      <c r="H15" s="1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.75" customHeight="1" x14ac:dyDescent="0.2">
      <c r="A16" s="10" t="s">
        <v>14</v>
      </c>
      <c r="B16" s="10" t="s">
        <v>108</v>
      </c>
      <c r="C16" s="23" t="s">
        <v>109</v>
      </c>
      <c r="D16" s="23"/>
      <c r="E16" s="24"/>
      <c r="F16" s="10"/>
      <c r="G16" s="10"/>
      <c r="H16" s="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25"/>
      <c r="U16" s="1"/>
      <c r="V16" s="1"/>
      <c r="W16" s="1"/>
      <c r="X16" s="1"/>
      <c r="Y16" s="1"/>
      <c r="Z16" s="1"/>
    </row>
    <row r="17" spans="1:26" ht="27.75" customHeight="1" x14ac:dyDescent="0.2">
      <c r="A17" s="1"/>
      <c r="B17" s="11" t="s">
        <v>15</v>
      </c>
      <c r="C17" s="11" t="s">
        <v>16</v>
      </c>
      <c r="D17" s="12" t="s">
        <v>17</v>
      </c>
      <c r="E17" s="12" t="s">
        <v>18</v>
      </c>
      <c r="F17" s="11" t="s">
        <v>7</v>
      </c>
      <c r="G17" s="9"/>
      <c r="H17" s="1"/>
      <c r="I17" s="1"/>
      <c r="J17" s="1"/>
      <c r="K17" s="25"/>
      <c r="L17" s="1"/>
      <c r="M17" s="1"/>
      <c r="N17" s="1"/>
      <c r="O17" s="1"/>
      <c r="P17" s="1"/>
      <c r="Q17" s="1"/>
      <c r="R17" s="1"/>
      <c r="S17" s="1"/>
      <c r="T17" s="25"/>
      <c r="U17" s="1"/>
      <c r="V17" s="1"/>
      <c r="W17" s="1"/>
      <c r="X17" s="1"/>
      <c r="Y17" s="1"/>
      <c r="Z17" s="1"/>
    </row>
    <row r="18" spans="1:26" ht="27.75" customHeight="1" x14ac:dyDescent="0.2">
      <c r="A18" s="1"/>
      <c r="B18" s="13" t="s">
        <v>113</v>
      </c>
      <c r="C18" s="13"/>
      <c r="D18" s="26">
        <v>7</v>
      </c>
      <c r="E18" s="16" t="str">
        <f t="shared" ref="E18:E29" si="2">IF($D18&gt;0,IF($D18&lt;=3,"Simple",IF(AND($D18&gt;3,$D18&lt;7),"Intermedio",IF($D18&gt;=7,"Complejo","error"))),"-")</f>
        <v>Complejo</v>
      </c>
      <c r="F18" s="16">
        <f t="shared" ref="F18:F29" si="3">IF($D18&gt;0,IF($D18&lt;=3,5,IF(AND($D18&gt;3,$D18&lt;7),10,IF($D18&gt;=7,15,"error"))),0)</f>
        <v>15</v>
      </c>
      <c r="G18" s="1"/>
      <c r="H18" s="1"/>
      <c r="I18" s="1"/>
      <c r="J18" s="1"/>
      <c r="K18" s="25"/>
      <c r="L18" s="1"/>
      <c r="M18" s="1"/>
      <c r="N18" s="1"/>
      <c r="O18" s="1"/>
      <c r="P18" s="1"/>
      <c r="Q18" s="1"/>
      <c r="R18" s="1"/>
      <c r="S18" s="1"/>
      <c r="T18" s="25"/>
      <c r="U18" s="1"/>
      <c r="V18" s="1"/>
      <c r="W18" s="1"/>
      <c r="X18" s="1"/>
      <c r="Y18" s="1"/>
      <c r="Z18" s="1"/>
    </row>
    <row r="19" spans="1:26" ht="27.75" customHeight="1" x14ac:dyDescent="0.2">
      <c r="A19" s="1"/>
      <c r="B19" s="13" t="s">
        <v>114</v>
      </c>
      <c r="C19" s="13"/>
      <c r="D19" s="26">
        <v>4</v>
      </c>
      <c r="E19" s="16" t="str">
        <f t="shared" si="2"/>
        <v>Intermedio</v>
      </c>
      <c r="F19" s="16">
        <f t="shared" si="3"/>
        <v>10</v>
      </c>
      <c r="G19" s="1"/>
      <c r="H19" s="1"/>
      <c r="I19" s="1"/>
      <c r="J19" s="1"/>
      <c r="K19" s="25"/>
      <c r="L19" s="1"/>
      <c r="M19" s="1"/>
      <c r="N19" s="1"/>
      <c r="O19" s="1"/>
      <c r="P19" s="1"/>
      <c r="Q19" s="1"/>
      <c r="R19" s="1"/>
      <c r="S19" s="1"/>
      <c r="T19" s="25"/>
      <c r="U19" s="1"/>
      <c r="V19" s="1"/>
      <c r="W19" s="1"/>
      <c r="X19" s="1"/>
      <c r="Y19" s="1"/>
      <c r="Z19" s="1"/>
    </row>
    <row r="20" spans="1:26" ht="27.75" customHeight="1" x14ac:dyDescent="0.2">
      <c r="A20" s="1"/>
      <c r="B20" s="13" t="s">
        <v>115</v>
      </c>
      <c r="C20" s="13"/>
      <c r="D20" s="26">
        <v>2</v>
      </c>
      <c r="E20" s="16" t="str">
        <f t="shared" si="2"/>
        <v>Simple</v>
      </c>
      <c r="F20" s="16">
        <f t="shared" si="3"/>
        <v>5</v>
      </c>
      <c r="G20" s="1"/>
      <c r="H20" s="1"/>
      <c r="I20" s="1"/>
      <c r="J20" s="1"/>
      <c r="K20" s="25"/>
      <c r="L20" s="1"/>
      <c r="M20" s="1"/>
      <c r="N20" s="1"/>
      <c r="O20" s="1"/>
      <c r="P20" s="1"/>
      <c r="Q20" s="1"/>
      <c r="R20" s="1"/>
      <c r="S20" s="1"/>
      <c r="T20" s="25"/>
      <c r="U20" s="1"/>
      <c r="V20" s="1"/>
      <c r="W20" s="1"/>
      <c r="X20" s="1"/>
      <c r="Y20" s="1"/>
      <c r="Z20" s="1"/>
    </row>
    <row r="21" spans="1:26" ht="27.75" customHeight="1" x14ac:dyDescent="0.2">
      <c r="A21" s="1"/>
      <c r="B21" s="13" t="s">
        <v>116</v>
      </c>
      <c r="C21" s="82"/>
      <c r="D21" s="83">
        <v>2</v>
      </c>
      <c r="E21" s="16" t="str">
        <f t="shared" si="2"/>
        <v>Simple</v>
      </c>
      <c r="F21" s="16">
        <f t="shared" si="3"/>
        <v>5</v>
      </c>
      <c r="G21" s="1"/>
      <c r="H21" s="1"/>
      <c r="I21" s="1"/>
      <c r="J21" s="1"/>
      <c r="K21" s="25"/>
      <c r="L21" s="1"/>
      <c r="M21" s="1"/>
      <c r="N21" s="1"/>
      <c r="O21" s="1"/>
      <c r="P21" s="1"/>
      <c r="Q21" s="1"/>
      <c r="R21" s="1"/>
      <c r="S21" s="1"/>
      <c r="T21" s="25"/>
      <c r="U21" s="1"/>
      <c r="V21" s="1"/>
      <c r="W21" s="1"/>
      <c r="X21" s="1"/>
      <c r="Y21" s="1"/>
      <c r="Z21" s="1"/>
    </row>
    <row r="22" spans="1:26" ht="27.75" customHeight="1" x14ac:dyDescent="0.2">
      <c r="A22" s="1"/>
      <c r="B22" s="13" t="s">
        <v>117</v>
      </c>
      <c r="C22" s="82"/>
      <c r="D22" s="83">
        <v>5</v>
      </c>
      <c r="E22" s="16" t="str">
        <f t="shared" si="2"/>
        <v>Intermedio</v>
      </c>
      <c r="F22" s="16">
        <f t="shared" si="3"/>
        <v>10</v>
      </c>
      <c r="G22" s="1"/>
      <c r="H22" s="1"/>
      <c r="I22" s="1"/>
      <c r="J22" s="1"/>
      <c r="K22" s="25"/>
      <c r="L22" s="1"/>
      <c r="M22" s="1"/>
      <c r="N22" s="1"/>
      <c r="O22" s="1"/>
      <c r="P22" s="1"/>
      <c r="Q22" s="1"/>
      <c r="R22" s="1"/>
      <c r="S22" s="1"/>
      <c r="T22" s="25"/>
      <c r="U22" s="1"/>
      <c r="V22" s="1"/>
      <c r="W22" s="1"/>
      <c r="X22" s="1"/>
      <c r="Y22" s="1"/>
      <c r="Z22" s="1"/>
    </row>
    <row r="23" spans="1:26" ht="27.75" customHeight="1" x14ac:dyDescent="0.2">
      <c r="A23" s="1"/>
      <c r="B23" s="13" t="s">
        <v>118</v>
      </c>
      <c r="C23" s="82"/>
      <c r="D23" s="83">
        <v>2</v>
      </c>
      <c r="E23" s="16" t="str">
        <f t="shared" si="2"/>
        <v>Simple</v>
      </c>
      <c r="F23" s="16">
        <f t="shared" si="3"/>
        <v>5</v>
      </c>
      <c r="G23" s="1"/>
      <c r="H23" s="1"/>
      <c r="I23" s="1"/>
      <c r="J23" s="1"/>
      <c r="K23" s="25"/>
      <c r="L23" s="1"/>
      <c r="M23" s="1"/>
      <c r="N23" s="1"/>
      <c r="O23" s="1"/>
      <c r="P23" s="1"/>
      <c r="Q23" s="1"/>
      <c r="R23" s="1"/>
      <c r="S23" s="1"/>
      <c r="T23" s="25"/>
      <c r="U23" s="1"/>
      <c r="V23" s="1"/>
      <c r="W23" s="1"/>
      <c r="X23" s="1"/>
      <c r="Y23" s="1"/>
      <c r="Z23" s="1"/>
    </row>
    <row r="24" spans="1:26" ht="27.75" customHeight="1" x14ac:dyDescent="0.2">
      <c r="A24" s="1"/>
      <c r="B24" s="13" t="s">
        <v>119</v>
      </c>
      <c r="C24" s="82"/>
      <c r="D24" s="83">
        <v>1</v>
      </c>
      <c r="E24" s="16" t="str">
        <f t="shared" si="2"/>
        <v>Simple</v>
      </c>
      <c r="F24" s="16">
        <f t="shared" si="3"/>
        <v>5</v>
      </c>
      <c r="G24" s="1"/>
      <c r="H24" s="1"/>
      <c r="I24" s="1"/>
      <c r="J24" s="1"/>
      <c r="K24" s="25"/>
      <c r="L24" s="1"/>
      <c r="M24" s="1"/>
      <c r="N24" s="1"/>
      <c r="O24" s="1"/>
      <c r="P24" s="1"/>
      <c r="Q24" s="1"/>
      <c r="R24" s="1"/>
      <c r="S24" s="1"/>
      <c r="T24" s="25"/>
      <c r="U24" s="1"/>
      <c r="V24" s="1"/>
      <c r="W24" s="1"/>
      <c r="X24" s="1"/>
      <c r="Y24" s="1"/>
      <c r="Z24" s="1"/>
    </row>
    <row r="25" spans="1:26" ht="27.75" customHeight="1" x14ac:dyDescent="0.2">
      <c r="A25" s="1"/>
      <c r="B25" s="13" t="s">
        <v>120</v>
      </c>
      <c r="C25" s="82"/>
      <c r="D25" s="83">
        <v>4</v>
      </c>
      <c r="E25" s="16" t="str">
        <f t="shared" si="2"/>
        <v>Intermedio</v>
      </c>
      <c r="F25" s="16">
        <f t="shared" si="3"/>
        <v>10</v>
      </c>
      <c r="G25" s="1"/>
      <c r="H25" s="1"/>
      <c r="I25" s="1"/>
      <c r="J25" s="1"/>
      <c r="K25" s="25"/>
      <c r="L25" s="1"/>
      <c r="M25" s="1"/>
      <c r="N25" s="1"/>
      <c r="O25" s="1"/>
      <c r="P25" s="1"/>
      <c r="Q25" s="1"/>
      <c r="R25" s="1"/>
      <c r="S25" s="1"/>
      <c r="T25" s="25"/>
      <c r="U25" s="1"/>
      <c r="V25" s="1"/>
      <c r="W25" s="1"/>
      <c r="X25" s="1"/>
      <c r="Y25" s="1"/>
      <c r="Z25" s="1"/>
    </row>
    <row r="26" spans="1:26" ht="27.75" customHeight="1" x14ac:dyDescent="0.2">
      <c r="A26" s="1"/>
      <c r="B26" s="13" t="s">
        <v>121</v>
      </c>
      <c r="C26" s="82"/>
      <c r="D26" s="83">
        <v>3</v>
      </c>
      <c r="E26" s="16" t="str">
        <f t="shared" si="2"/>
        <v>Simple</v>
      </c>
      <c r="F26" s="16">
        <f t="shared" si="3"/>
        <v>5</v>
      </c>
      <c r="G26" s="1"/>
      <c r="H26" s="1"/>
      <c r="I26" s="1"/>
      <c r="J26" s="1"/>
      <c r="K26" s="25"/>
      <c r="L26" s="1"/>
      <c r="M26" s="1"/>
      <c r="N26" s="1"/>
      <c r="O26" s="1"/>
      <c r="P26" s="1"/>
      <c r="Q26" s="1"/>
      <c r="R26" s="1"/>
      <c r="S26" s="1"/>
      <c r="T26" s="25"/>
      <c r="U26" s="1"/>
      <c r="V26" s="1"/>
      <c r="W26" s="1"/>
      <c r="X26" s="1"/>
      <c r="Y26" s="1"/>
      <c r="Z26" s="1"/>
    </row>
    <row r="27" spans="1:26" ht="27.75" customHeight="1" x14ac:dyDescent="0.2">
      <c r="A27" s="1"/>
      <c r="B27" s="13" t="s">
        <v>122</v>
      </c>
      <c r="C27" s="27"/>
      <c r="D27" s="28">
        <v>4</v>
      </c>
      <c r="E27" s="16" t="str">
        <f t="shared" si="2"/>
        <v>Intermedio</v>
      </c>
      <c r="F27" s="16">
        <f t="shared" si="3"/>
        <v>10</v>
      </c>
      <c r="G27" s="1"/>
      <c r="H27" s="1"/>
      <c r="I27" s="1"/>
      <c r="J27" s="1"/>
      <c r="K27" s="25"/>
      <c r="L27" s="1"/>
      <c r="M27" s="1"/>
      <c r="N27" s="1"/>
      <c r="O27" s="1"/>
      <c r="P27" s="1"/>
      <c r="Q27" s="1"/>
      <c r="R27" s="1"/>
      <c r="S27" s="1"/>
      <c r="T27" s="25"/>
      <c r="U27" s="1"/>
      <c r="V27" s="1"/>
      <c r="W27" s="1"/>
      <c r="X27" s="1"/>
      <c r="Y27" s="1"/>
      <c r="Z27" s="1"/>
    </row>
    <row r="28" spans="1:26" ht="27.75" customHeight="1" x14ac:dyDescent="0.2">
      <c r="A28" s="1"/>
      <c r="B28" s="13" t="s">
        <v>123</v>
      </c>
      <c r="C28" s="27"/>
      <c r="D28" s="28">
        <v>4</v>
      </c>
      <c r="E28" s="16" t="str">
        <f t="shared" si="2"/>
        <v>Intermedio</v>
      </c>
      <c r="F28" s="16">
        <f t="shared" si="3"/>
        <v>10</v>
      </c>
      <c r="G28" s="1"/>
      <c r="H28" s="1"/>
      <c r="I28" s="1"/>
      <c r="J28" s="1"/>
      <c r="K28" s="25"/>
      <c r="L28" s="1"/>
      <c r="M28" s="1"/>
      <c r="N28" s="1"/>
      <c r="O28" s="1"/>
      <c r="P28" s="1"/>
      <c r="Q28" s="1"/>
      <c r="R28" s="1"/>
      <c r="S28" s="1"/>
      <c r="T28" s="25"/>
      <c r="U28" s="1"/>
      <c r="V28" s="1"/>
      <c r="W28" s="1"/>
      <c r="X28" s="1"/>
      <c r="Y28" s="1"/>
      <c r="Z28" s="1"/>
    </row>
    <row r="29" spans="1:26" ht="27.75" customHeight="1" x14ac:dyDescent="0.2">
      <c r="A29" s="1"/>
      <c r="B29" s="13" t="s">
        <v>124</v>
      </c>
      <c r="C29" s="27"/>
      <c r="D29" s="28">
        <v>2</v>
      </c>
      <c r="E29" s="16" t="str">
        <f t="shared" si="2"/>
        <v>Simple</v>
      </c>
      <c r="F29" s="16">
        <f t="shared" si="3"/>
        <v>5</v>
      </c>
      <c r="G29" s="1"/>
      <c r="H29" s="10"/>
      <c r="I29" s="1"/>
      <c r="J29" s="1"/>
      <c r="K29" s="2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.75" customHeight="1" x14ac:dyDescent="0.2">
      <c r="A30" s="1"/>
      <c r="B30" s="29"/>
      <c r="C30" s="96" t="s">
        <v>19</v>
      </c>
      <c r="D30" s="97"/>
      <c r="E30" s="98"/>
      <c r="F30" s="30">
        <f>SUM(F18:F29)</f>
        <v>95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.75" customHeight="1" x14ac:dyDescent="0.2">
      <c r="A31" s="1"/>
      <c r="B31" s="1"/>
      <c r="C31" s="1"/>
      <c r="D31" s="2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.75" customHeight="1" x14ac:dyDescent="0.2">
      <c r="A32" s="10" t="s">
        <v>20</v>
      </c>
      <c r="B32" s="1"/>
      <c r="C32" s="1"/>
      <c r="D32" s="2"/>
      <c r="E32" s="3"/>
      <c r="F32" s="1"/>
      <c r="G32" s="1"/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.75" customHeight="1" x14ac:dyDescent="0.2">
      <c r="A33" s="1"/>
      <c r="B33" s="31"/>
      <c r="C33" s="84" t="s">
        <v>21</v>
      </c>
      <c r="D33" s="94"/>
      <c r="E33" s="95"/>
      <c r="F33" s="20">
        <f>G14+F30</f>
        <v>107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.75" customHeight="1" x14ac:dyDescent="0.2">
      <c r="A34" s="1"/>
      <c r="B34" s="1"/>
      <c r="C34" s="1"/>
      <c r="D34" s="2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.75" customHeight="1" x14ac:dyDescent="0.2">
      <c r="A35" s="10" t="s">
        <v>22</v>
      </c>
      <c r="B35" s="3"/>
      <c r="C35" s="1"/>
      <c r="D35" s="2"/>
      <c r="E35" s="3"/>
      <c r="F35" s="1"/>
      <c r="G35" s="1"/>
      <c r="H35" s="1" t="s">
        <v>28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27.75" customHeight="1" x14ac:dyDescent="0.2">
      <c r="A36" s="1"/>
      <c r="B36" s="12" t="s">
        <v>23</v>
      </c>
      <c r="C36" s="12" t="s">
        <v>24</v>
      </c>
      <c r="D36" s="11" t="s">
        <v>25</v>
      </c>
      <c r="E36" s="11" t="s">
        <v>7</v>
      </c>
      <c r="F36" s="11" t="s">
        <v>26</v>
      </c>
      <c r="G36" s="11" t="s">
        <v>27</v>
      </c>
      <c r="H36" s="36" t="s">
        <v>31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32" t="s">
        <v>29</v>
      </c>
      <c r="C37" s="32" t="s">
        <v>30</v>
      </c>
      <c r="D37" s="33" t="s">
        <v>125</v>
      </c>
      <c r="E37" s="34">
        <v>2</v>
      </c>
      <c r="F37" s="17">
        <v>0</v>
      </c>
      <c r="G37" s="35">
        <f t="shared" ref="G37:G49" si="4">E37*F37</f>
        <v>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2">
      <c r="A38" s="1"/>
      <c r="B38" s="32" t="s">
        <v>32</v>
      </c>
      <c r="C38" s="32" t="s">
        <v>30</v>
      </c>
      <c r="D38" s="33" t="s">
        <v>126</v>
      </c>
      <c r="E38" s="35">
        <v>2</v>
      </c>
      <c r="F38" s="17">
        <v>3</v>
      </c>
      <c r="G38" s="35">
        <f t="shared" si="4"/>
        <v>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32" t="s">
        <v>33</v>
      </c>
      <c r="C39" s="32" t="s">
        <v>30</v>
      </c>
      <c r="D39" s="33" t="s">
        <v>126</v>
      </c>
      <c r="E39" s="35">
        <v>1</v>
      </c>
      <c r="F39" s="17">
        <v>4</v>
      </c>
      <c r="G39" s="35">
        <f t="shared" si="4"/>
        <v>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.75" customHeight="1" x14ac:dyDescent="0.2">
      <c r="A40" s="1"/>
      <c r="B40" s="32" t="s">
        <v>34</v>
      </c>
      <c r="C40" s="32" t="s">
        <v>30</v>
      </c>
      <c r="D40" s="33" t="s">
        <v>127</v>
      </c>
      <c r="E40" s="35">
        <v>1</v>
      </c>
      <c r="F40" s="17">
        <v>1.5</v>
      </c>
      <c r="G40" s="35">
        <f t="shared" si="4"/>
        <v>1.5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.75" customHeight="1" x14ac:dyDescent="0.2">
      <c r="A41" s="1"/>
      <c r="B41" s="32" t="s">
        <v>35</v>
      </c>
      <c r="C41" s="32" t="s">
        <v>30</v>
      </c>
      <c r="D41" s="33" t="s">
        <v>127</v>
      </c>
      <c r="E41" s="34">
        <v>1</v>
      </c>
      <c r="F41" s="17">
        <v>2</v>
      </c>
      <c r="G41" s="35">
        <f t="shared" si="4"/>
        <v>2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7.75" customHeight="1" x14ac:dyDescent="0.2">
      <c r="A42" s="1"/>
      <c r="B42" s="32" t="s">
        <v>36</v>
      </c>
      <c r="C42" s="32" t="s">
        <v>30</v>
      </c>
      <c r="D42" s="33" t="s">
        <v>128</v>
      </c>
      <c r="E42" s="34">
        <v>0.5</v>
      </c>
      <c r="F42" s="17">
        <v>1</v>
      </c>
      <c r="G42" s="35">
        <f t="shared" si="4"/>
        <v>0.5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.75" customHeight="1" x14ac:dyDescent="0.2">
      <c r="A43" s="1"/>
      <c r="B43" s="32" t="s">
        <v>37</v>
      </c>
      <c r="C43" s="32" t="s">
        <v>30</v>
      </c>
      <c r="D43" s="33" t="s">
        <v>129</v>
      </c>
      <c r="E43" s="34">
        <v>0.5</v>
      </c>
      <c r="F43" s="17">
        <v>5</v>
      </c>
      <c r="G43" s="35">
        <f t="shared" si="4"/>
        <v>2.5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.75" customHeight="1" x14ac:dyDescent="0.2">
      <c r="A44" s="1"/>
      <c r="B44" s="32" t="s">
        <v>38</v>
      </c>
      <c r="C44" s="32" t="s">
        <v>30</v>
      </c>
      <c r="D44" s="33" t="s">
        <v>125</v>
      </c>
      <c r="E44" s="34">
        <v>2</v>
      </c>
      <c r="F44" s="17">
        <v>0</v>
      </c>
      <c r="G44" s="35">
        <f t="shared" si="4"/>
        <v>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.75" customHeight="1" x14ac:dyDescent="0.2">
      <c r="A45" s="1"/>
      <c r="B45" s="32" t="s">
        <v>39</v>
      </c>
      <c r="C45" s="32" t="s">
        <v>30</v>
      </c>
      <c r="D45" s="33" t="s">
        <v>127</v>
      </c>
      <c r="E45" s="34">
        <v>1</v>
      </c>
      <c r="F45" s="17">
        <v>1.5</v>
      </c>
      <c r="G45" s="35">
        <f t="shared" si="4"/>
        <v>1.5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32" t="s">
        <v>40</v>
      </c>
      <c r="C46" s="32" t="s">
        <v>30</v>
      </c>
      <c r="D46" s="33" t="s">
        <v>130</v>
      </c>
      <c r="E46" s="34">
        <v>1</v>
      </c>
      <c r="F46" s="17">
        <v>0</v>
      </c>
      <c r="G46" s="35">
        <f t="shared" si="4"/>
        <v>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32" t="s">
        <v>41</v>
      </c>
      <c r="C47" s="32" t="s">
        <v>30</v>
      </c>
      <c r="D47" s="33" t="s">
        <v>129</v>
      </c>
      <c r="E47" s="35">
        <v>1</v>
      </c>
      <c r="F47" s="17">
        <v>5</v>
      </c>
      <c r="G47" s="35">
        <f t="shared" si="4"/>
        <v>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32" t="s">
        <v>42</v>
      </c>
      <c r="C48" s="32" t="s">
        <v>30</v>
      </c>
      <c r="D48" s="33" t="s">
        <v>127</v>
      </c>
      <c r="E48" s="35">
        <v>1</v>
      </c>
      <c r="F48" s="17">
        <v>1</v>
      </c>
      <c r="G48" s="35">
        <f t="shared" si="4"/>
        <v>1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.75" customHeight="1" x14ac:dyDescent="0.2">
      <c r="A49" s="1"/>
      <c r="B49" s="32" t="s">
        <v>43</v>
      </c>
      <c r="C49" s="32" t="s">
        <v>30</v>
      </c>
      <c r="D49" s="33" t="s">
        <v>129</v>
      </c>
      <c r="E49" s="34">
        <v>1</v>
      </c>
      <c r="F49" s="17">
        <v>5</v>
      </c>
      <c r="G49" s="35">
        <f t="shared" si="4"/>
        <v>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.75" customHeight="1" x14ac:dyDescent="0.2">
      <c r="A50" s="1"/>
      <c r="B50" s="84" t="s">
        <v>44</v>
      </c>
      <c r="C50" s="85"/>
      <c r="D50" s="85"/>
      <c r="E50" s="85"/>
      <c r="F50" s="86"/>
      <c r="G50" s="37">
        <f>SUM(G37:G49)</f>
        <v>29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7.75" customHeight="1" x14ac:dyDescent="0.2">
      <c r="A51" s="1"/>
      <c r="B51" s="84" t="s">
        <v>45</v>
      </c>
      <c r="C51" s="85"/>
      <c r="D51" s="85"/>
      <c r="E51" s="85"/>
      <c r="F51" s="86"/>
      <c r="G51" s="30">
        <f>0.6+(0.01*G50)</f>
        <v>0.8899999999999999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7.75" customHeight="1" x14ac:dyDescent="0.2">
      <c r="A52" s="1"/>
      <c r="B52" s="21"/>
      <c r="C52" s="3"/>
      <c r="D52" s="3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0" t="s">
        <v>46</v>
      </c>
      <c r="B53" s="38"/>
      <c r="C53" s="38"/>
      <c r="D53" s="39"/>
      <c r="E53" s="38"/>
      <c r="F53" s="38"/>
      <c r="G53" s="38"/>
      <c r="H53" s="1" t="s">
        <v>50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2">
      <c r="A54" s="1"/>
      <c r="B54" s="12" t="s">
        <v>47</v>
      </c>
      <c r="C54" s="12" t="s">
        <v>48</v>
      </c>
      <c r="D54" s="11" t="s">
        <v>49</v>
      </c>
      <c r="E54" s="11" t="s">
        <v>7</v>
      </c>
      <c r="F54" s="11" t="s">
        <v>26</v>
      </c>
      <c r="G54" s="11" t="s">
        <v>27</v>
      </c>
      <c r="H54" s="36" t="s">
        <v>31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40" t="s">
        <v>51</v>
      </c>
      <c r="C55" s="32" t="s">
        <v>52</v>
      </c>
      <c r="D55" s="33" t="s">
        <v>135</v>
      </c>
      <c r="E55" s="34">
        <v>1.5</v>
      </c>
      <c r="F55" s="17">
        <v>1</v>
      </c>
      <c r="G55" s="35">
        <f t="shared" ref="G55:G62" si="5">E55*F55</f>
        <v>1.5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40" t="s">
        <v>53</v>
      </c>
      <c r="C56" s="32" t="s">
        <v>52</v>
      </c>
      <c r="D56" s="33" t="s">
        <v>136</v>
      </c>
      <c r="E56" s="34">
        <v>0.5</v>
      </c>
      <c r="F56" s="17">
        <v>0</v>
      </c>
      <c r="G56" s="35">
        <f t="shared" si="5"/>
        <v>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40" t="s">
        <v>54</v>
      </c>
      <c r="C57" s="32" t="s">
        <v>52</v>
      </c>
      <c r="D57" s="33" t="s">
        <v>137</v>
      </c>
      <c r="E57" s="34">
        <v>1</v>
      </c>
      <c r="F57" s="17">
        <v>1</v>
      </c>
      <c r="G57" s="35">
        <f t="shared" si="5"/>
        <v>1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7.75" customHeight="1" x14ac:dyDescent="0.2">
      <c r="A58" s="1"/>
      <c r="B58" s="40" t="s">
        <v>55</v>
      </c>
      <c r="C58" s="32" t="s">
        <v>52</v>
      </c>
      <c r="D58" s="33" t="s">
        <v>138</v>
      </c>
      <c r="E58" s="34">
        <v>0.5</v>
      </c>
      <c r="F58" s="17">
        <v>2</v>
      </c>
      <c r="G58" s="35">
        <f t="shared" si="5"/>
        <v>1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40" t="s">
        <v>56</v>
      </c>
      <c r="C59" s="32" t="s">
        <v>57</v>
      </c>
      <c r="D59" s="33" t="s">
        <v>131</v>
      </c>
      <c r="E59" s="34">
        <v>1</v>
      </c>
      <c r="F59" s="17">
        <v>1.5</v>
      </c>
      <c r="G59" s="35">
        <f t="shared" si="5"/>
        <v>1.5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40" t="s">
        <v>58</v>
      </c>
      <c r="C60" s="32" t="s">
        <v>59</v>
      </c>
      <c r="D60" s="33" t="s">
        <v>132</v>
      </c>
      <c r="E60" s="34">
        <v>2</v>
      </c>
      <c r="F60" s="17">
        <v>4</v>
      </c>
      <c r="G60" s="35">
        <f t="shared" si="5"/>
        <v>8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40" t="s">
        <v>60</v>
      </c>
      <c r="C61" s="32" t="s">
        <v>61</v>
      </c>
      <c r="D61" s="33" t="s">
        <v>133</v>
      </c>
      <c r="E61" s="34">
        <v>-1</v>
      </c>
      <c r="F61" s="17">
        <v>5</v>
      </c>
      <c r="G61" s="35">
        <f t="shared" si="5"/>
        <v>-5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.75" customHeight="1" x14ac:dyDescent="0.2">
      <c r="A62" s="1"/>
      <c r="B62" s="40" t="s">
        <v>62</v>
      </c>
      <c r="C62" s="32" t="s">
        <v>63</v>
      </c>
      <c r="D62" s="33" t="s">
        <v>134</v>
      </c>
      <c r="E62" s="34">
        <v>-1</v>
      </c>
      <c r="F62" s="17">
        <v>5</v>
      </c>
      <c r="G62" s="35">
        <f t="shared" si="5"/>
        <v>-5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.75" customHeight="1" x14ac:dyDescent="0.2">
      <c r="A63" s="1"/>
      <c r="B63" s="84" t="s">
        <v>64</v>
      </c>
      <c r="C63" s="85"/>
      <c r="D63" s="85"/>
      <c r="E63" s="85"/>
      <c r="F63" s="86"/>
      <c r="G63" s="11">
        <f>SUM(G55:G62)</f>
        <v>3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.75" customHeight="1" x14ac:dyDescent="0.2">
      <c r="A64" s="1"/>
      <c r="B64" s="84" t="s">
        <v>65</v>
      </c>
      <c r="C64" s="85"/>
      <c r="D64" s="85"/>
      <c r="E64" s="85"/>
      <c r="F64" s="86"/>
      <c r="G64" s="11">
        <f>1.4 + (-0.03*G63)</f>
        <v>1.3099999999999998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7.75" customHeight="1" x14ac:dyDescent="0.2">
      <c r="A65" s="1"/>
      <c r="B65" s="19"/>
      <c r="C65" s="41"/>
      <c r="D65" s="42"/>
      <c r="E65" s="41"/>
      <c r="F65" s="43" t="s">
        <v>66</v>
      </c>
      <c r="G65" s="11">
        <f>COUNTIF($F$55:$F$60,"&lt;3")+COUNTIF($F$61:$F$62,"&gt;3")</f>
        <v>7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.75" customHeight="1" x14ac:dyDescent="0.2">
      <c r="A66" s="1"/>
      <c r="B66" s="21"/>
      <c r="C66" s="3"/>
      <c r="D66" s="3"/>
      <c r="E66" s="3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.75" customHeight="1" x14ac:dyDescent="0.2">
      <c r="A67" s="10" t="s">
        <v>67</v>
      </c>
      <c r="B67" s="1"/>
      <c r="C67" s="1"/>
      <c r="D67" s="2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7.75" customHeight="1" x14ac:dyDescent="0.2">
      <c r="A68" s="1"/>
      <c r="B68" s="87" t="s">
        <v>68</v>
      </c>
      <c r="C68" s="88"/>
      <c r="D68" s="88"/>
      <c r="E68" s="88"/>
      <c r="F68" s="89"/>
      <c r="G68" s="44">
        <f>F33*G51*G64</f>
        <v>124.75129999999997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.75" customHeight="1" x14ac:dyDescent="0.2">
      <c r="A69" s="1"/>
      <c r="B69" s="1"/>
      <c r="C69" s="1"/>
      <c r="D69" s="2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45" t="s">
        <v>69</v>
      </c>
      <c r="B70" s="1"/>
      <c r="C70" s="1"/>
      <c r="D70" s="2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.75" customHeight="1" x14ac:dyDescent="0.2">
      <c r="A71" s="1"/>
      <c r="B71" s="12" t="s">
        <v>70</v>
      </c>
      <c r="C71" s="12" t="s">
        <v>71</v>
      </c>
      <c r="D71" s="74" t="s">
        <v>72</v>
      </c>
      <c r="E71" s="3"/>
      <c r="F71" s="1"/>
      <c r="G71" s="12" t="s">
        <v>73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.75" customHeight="1" x14ac:dyDescent="0.2">
      <c r="A72" s="1"/>
      <c r="B72" s="46">
        <v>20</v>
      </c>
      <c r="C72" s="46">
        <f>IF($G$65&gt;=5,36,IF(AND(G$65&gt;2,$G$65&lt;=4),28, IF(AND($G$65&gt;=0,$G$65&lt;=2),20,"error")))</f>
        <v>36</v>
      </c>
      <c r="D72" s="69">
        <f>IF($G$65&gt;=5,$G$72*(36/20),IF(AND($G$65&gt;2,$G$65&lt;=4),$G$72*(28/20), IF(AND($G$65&gt;=0,$G$65&lt;=2),$G$72,"error")))</f>
        <v>4.5</v>
      </c>
      <c r="E72" s="3"/>
      <c r="F72" s="1"/>
      <c r="G72" s="47">
        <v>2.5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.75" customHeight="1" x14ac:dyDescent="0.2">
      <c r="A73" s="48" t="s">
        <v>75</v>
      </c>
      <c r="B73" s="90" t="s">
        <v>74</v>
      </c>
      <c r="C73" s="91"/>
      <c r="D73" s="92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.75" customHeight="1" x14ac:dyDescent="0.2">
      <c r="A74" s="48" t="s">
        <v>76</v>
      </c>
      <c r="B74" s="46">
        <f t="shared" ref="B74:D74" si="6">$G$68*B72</f>
        <v>2495.0259999999994</v>
      </c>
      <c r="C74" s="46">
        <f t="shared" si="6"/>
        <v>4491.0467999999992</v>
      </c>
      <c r="D74" s="70">
        <f t="shared" si="6"/>
        <v>561.3808499999999</v>
      </c>
      <c r="E74" s="3"/>
      <c r="F74" s="1"/>
      <c r="G74" s="12" t="s">
        <v>89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.75" customHeight="1" x14ac:dyDescent="0.2">
      <c r="A75" s="1"/>
      <c r="B75" s="49">
        <f>B74/(22*G75)</f>
        <v>32.402935064935058</v>
      </c>
      <c r="C75" s="49">
        <f>C74/(22*G75)</f>
        <v>58.325283116883107</v>
      </c>
      <c r="D75" s="71">
        <f>D74/(22*G75)</f>
        <v>7.2906603896103883</v>
      </c>
      <c r="E75" s="3"/>
      <c r="F75" s="1"/>
      <c r="G75" s="47">
        <v>3.5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.75" customHeight="1" x14ac:dyDescent="0.2">
      <c r="A76" s="1"/>
      <c r="B76" s="1"/>
      <c r="C76" s="1"/>
      <c r="D76" s="2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.75" customHeight="1" x14ac:dyDescent="0.2">
      <c r="A77" s="10" t="s">
        <v>91</v>
      </c>
      <c r="B77" s="1"/>
      <c r="C77" s="1"/>
      <c r="D77" s="2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.75" customHeight="1" x14ac:dyDescent="0.2">
      <c r="A78" s="1"/>
      <c r="B78" s="50" t="s">
        <v>93</v>
      </c>
      <c r="C78" s="51"/>
      <c r="D78" s="42"/>
      <c r="E78" s="41"/>
      <c r="F78" s="5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.75" customHeight="1" x14ac:dyDescent="0.2">
      <c r="A79" s="1"/>
      <c r="B79" s="31" t="s">
        <v>77</v>
      </c>
      <c r="C79" s="11" t="s">
        <v>78</v>
      </c>
      <c r="D79" s="44" t="s">
        <v>94</v>
      </c>
      <c r="E79" s="44" t="s">
        <v>95</v>
      </c>
      <c r="F79" s="72" t="s">
        <v>96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.75" customHeight="1" x14ac:dyDescent="0.2">
      <c r="A80" s="1"/>
      <c r="B80" s="53" t="s">
        <v>82</v>
      </c>
      <c r="C80" s="80">
        <v>0.4</v>
      </c>
      <c r="D80" s="49">
        <f>+B74</f>
        <v>2495.0259999999994</v>
      </c>
      <c r="E80" s="49">
        <f>+C74</f>
        <v>4491.0467999999992</v>
      </c>
      <c r="F80" s="73">
        <f>+D74</f>
        <v>561.3808499999999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.75" customHeight="1" x14ac:dyDescent="0.2">
      <c r="A81" s="1"/>
      <c r="B81" s="53" t="s">
        <v>83</v>
      </c>
      <c r="C81" s="80">
        <f>1-C80</f>
        <v>0.6</v>
      </c>
      <c r="D81" s="46">
        <f>+D80*1.5</f>
        <v>3742.5389999999989</v>
      </c>
      <c r="E81" s="46">
        <f t="shared" ref="E81:F81" si="7">+E80*1.5</f>
        <v>6736.5701999999983</v>
      </c>
      <c r="F81" s="70">
        <f t="shared" si="7"/>
        <v>842.07127499999979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.75" customHeight="1" x14ac:dyDescent="0.2">
      <c r="A82" s="1"/>
      <c r="B82" s="54"/>
      <c r="C82" s="80">
        <f>SUM(C80:C81)</f>
        <v>1</v>
      </c>
      <c r="D82" s="49">
        <f>+D80+D81</f>
        <v>6237.5649999999987</v>
      </c>
      <c r="E82" s="49">
        <f t="shared" ref="E82:F82" si="8">+E80+E81</f>
        <v>11227.616999999998</v>
      </c>
      <c r="F82" s="73">
        <f t="shared" si="8"/>
        <v>1403.4521249999998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.75" customHeight="1" x14ac:dyDescent="0.2">
      <c r="A83" s="10" t="s">
        <v>92</v>
      </c>
      <c r="B83" s="1"/>
      <c r="C83" s="1"/>
      <c r="D83" s="1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7.75" customHeight="1" x14ac:dyDescent="0.2">
      <c r="A84" s="1"/>
      <c r="B84" s="50" t="s">
        <v>90</v>
      </c>
      <c r="C84" s="51"/>
      <c r="D84" s="42"/>
      <c r="E84" s="41"/>
      <c r="F84" s="5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.75" customHeight="1" x14ac:dyDescent="0.2">
      <c r="A85" s="1"/>
      <c r="B85" s="31" t="s">
        <v>77</v>
      </c>
      <c r="C85" s="11" t="s">
        <v>78</v>
      </c>
      <c r="D85" s="44" t="s">
        <v>79</v>
      </c>
      <c r="E85" s="44" t="s">
        <v>80</v>
      </c>
      <c r="F85" s="72" t="s">
        <v>81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7.75" customHeight="1" x14ac:dyDescent="0.2">
      <c r="A86" s="1"/>
      <c r="B86" s="53" t="s">
        <v>82</v>
      </c>
      <c r="C86" s="80">
        <v>0.4</v>
      </c>
      <c r="D86" s="49">
        <f>$C86/$C$86*B$75</f>
        <v>32.402935064935058</v>
      </c>
      <c r="E86" s="49">
        <f t="shared" ref="E86:F88" si="9">$C86/$C$86*C$75</f>
        <v>58.325283116883107</v>
      </c>
      <c r="F86" s="73">
        <f t="shared" si="9"/>
        <v>7.2906603896103883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7.75" customHeight="1" x14ac:dyDescent="0.2">
      <c r="A87" s="1"/>
      <c r="B87" s="53" t="s">
        <v>83</v>
      </c>
      <c r="C87" s="80">
        <f>1-C86</f>
        <v>0.6</v>
      </c>
      <c r="D87" s="46">
        <f>$C87/$C$86*B$75</f>
        <v>48.604402597402576</v>
      </c>
      <c r="E87" s="46">
        <f t="shared" si="9"/>
        <v>87.487924675324649</v>
      </c>
      <c r="F87" s="70">
        <f t="shared" si="9"/>
        <v>10.935990584415581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7.75" customHeight="1" x14ac:dyDescent="0.2">
      <c r="A88" s="1"/>
      <c r="B88" s="54"/>
      <c r="C88" s="80">
        <f>SUM(C86:C87)</f>
        <v>1</v>
      </c>
      <c r="D88" s="49">
        <f>$C88/$C$86*B$75</f>
        <v>81.007337662337648</v>
      </c>
      <c r="E88" s="49">
        <f t="shared" si="9"/>
        <v>145.81320779220778</v>
      </c>
      <c r="F88" s="73">
        <f t="shared" si="9"/>
        <v>18.226650974025972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7.75" customHeight="1" x14ac:dyDescent="0.2">
      <c r="A89" s="10" t="s">
        <v>84</v>
      </c>
      <c r="B89" s="1"/>
      <c r="C89" s="1"/>
      <c r="D89" s="2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7.75" customHeight="1" x14ac:dyDescent="0.2">
      <c r="A90" s="1"/>
      <c r="B90" s="17">
        <v>1</v>
      </c>
      <c r="C90" s="1"/>
      <c r="D90" s="2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7.75" customHeight="1" x14ac:dyDescent="0.2">
      <c r="A91" s="10" t="s">
        <v>85</v>
      </c>
      <c r="B91" s="1"/>
      <c r="C91" s="1"/>
      <c r="D91" s="2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7.75" customHeight="1" x14ac:dyDescent="0.2">
      <c r="A92" s="55"/>
      <c r="B92" s="44" t="s">
        <v>86</v>
      </c>
      <c r="C92" s="44" t="s">
        <v>87</v>
      </c>
      <c r="D92" s="72" t="s">
        <v>88</v>
      </c>
      <c r="E92" s="3"/>
      <c r="F92" s="1"/>
      <c r="G92" s="1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5.75" customHeight="1" x14ac:dyDescent="0.2">
      <c r="A93" s="55"/>
      <c r="B93" s="56">
        <f>$D$88/$B$90</f>
        <v>81.007337662337648</v>
      </c>
      <c r="C93" s="56">
        <f>$E$88/$B$90</f>
        <v>145.81320779220778</v>
      </c>
      <c r="D93" s="75">
        <f>$F$88/$B$90</f>
        <v>18.226650974025972</v>
      </c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5.75" customHeight="1" x14ac:dyDescent="0.2">
      <c r="A94" s="58" t="s">
        <v>98</v>
      </c>
      <c r="B94" s="55"/>
      <c r="C94" s="55"/>
      <c r="D94" s="55"/>
      <c r="E94" s="57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5.75" customHeight="1" x14ac:dyDescent="0.2">
      <c r="A95" s="59">
        <v>46265</v>
      </c>
      <c r="B95" s="44" t="s">
        <v>97</v>
      </c>
      <c r="C95" s="44" t="s">
        <v>97</v>
      </c>
      <c r="D95" s="72" t="s">
        <v>97</v>
      </c>
      <c r="E95" s="57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5.75" customHeight="1" x14ac:dyDescent="0.2">
      <c r="A96" s="55"/>
      <c r="B96" s="60">
        <f>EDATE(A95,INT(B93)) + (B93-INT(B93))*DAY(EDATE(A95,INT(B93)+1)-EDATE(A95,INT(B93)))</f>
        <v>48730.220129870133</v>
      </c>
      <c r="C96" s="60">
        <f>EDATE(A95,INT(C93)) + (C93-INT(C93))*DAY(EDATE(A95,INT(C93)+1)-EDATE(A95,INT(C93)))</f>
        <v>50703.209441558443</v>
      </c>
      <c r="D96" s="76">
        <f>EDATE(A95,INT(D93)) + (D93-INT(D93))*DAY(EDATE(A95,INT(D93)+1)-EDATE(A95,INT(D93)))</f>
        <v>46819.026180194807</v>
      </c>
      <c r="E96" s="57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5.75" customHeight="1" x14ac:dyDescent="0.2">
      <c r="A97" s="55"/>
      <c r="B97" s="55"/>
      <c r="C97" s="55"/>
      <c r="D97" s="55"/>
      <c r="E97" s="57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5.75" customHeight="1" x14ac:dyDescent="0.2">
      <c r="A98" s="55"/>
      <c r="B98" s="55"/>
      <c r="C98" s="55"/>
      <c r="D98" s="55"/>
      <c r="E98" s="57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5.75" customHeight="1" x14ac:dyDescent="0.2">
      <c r="A99" s="55"/>
      <c r="B99" s="55"/>
      <c r="C99" s="55"/>
      <c r="D99" s="55"/>
      <c r="E99" s="57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5.75" customHeight="1" x14ac:dyDescent="0.2">
      <c r="A100" s="55"/>
      <c r="B100" s="55"/>
      <c r="C100" s="55"/>
      <c r="D100" s="55"/>
      <c r="E100" s="57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5.75" customHeight="1" x14ac:dyDescent="0.2">
      <c r="A101" s="55"/>
      <c r="B101" s="55"/>
      <c r="C101" s="55"/>
      <c r="D101" s="55"/>
      <c r="E101" s="57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5.75" customHeight="1" x14ac:dyDescent="0.2">
      <c r="A102" s="55"/>
      <c r="B102" s="55"/>
      <c r="C102" s="55"/>
      <c r="D102" s="55"/>
      <c r="E102" s="57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5.75" customHeight="1" x14ac:dyDescent="0.2">
      <c r="A103" s="55"/>
      <c r="B103" s="55"/>
      <c r="C103" s="55"/>
      <c r="D103" s="55"/>
      <c r="E103" s="57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5.75" customHeight="1" x14ac:dyDescent="0.2">
      <c r="A104" s="55"/>
      <c r="B104" s="55"/>
      <c r="C104" s="55"/>
      <c r="D104" s="55"/>
      <c r="E104" s="57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5.75" customHeight="1" x14ac:dyDescent="0.2">
      <c r="A105" s="55"/>
      <c r="B105" s="55"/>
      <c r="C105" s="55"/>
      <c r="D105" s="55"/>
      <c r="E105" s="57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5.75" customHeight="1" x14ac:dyDescent="0.2">
      <c r="A106" s="55"/>
      <c r="B106" s="55"/>
      <c r="C106" s="55"/>
      <c r="D106" s="55"/>
      <c r="E106" s="57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5.75" customHeight="1" x14ac:dyDescent="0.2">
      <c r="A107" s="55"/>
      <c r="B107" s="55"/>
      <c r="C107" s="55"/>
      <c r="D107" s="55"/>
      <c r="E107" s="57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5.75" customHeight="1" x14ac:dyDescent="0.2">
      <c r="A108" s="55"/>
      <c r="B108" s="55"/>
      <c r="C108" s="55"/>
      <c r="D108" s="55"/>
      <c r="E108" s="57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5.75" customHeight="1" x14ac:dyDescent="0.2">
      <c r="A109" s="1"/>
      <c r="B109" s="55"/>
      <c r="C109" s="55"/>
      <c r="D109" s="55"/>
      <c r="E109" s="57"/>
      <c r="F109" s="55"/>
      <c r="G109" s="5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2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2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2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2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2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2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2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2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2">
      <c r="A1012" s="1"/>
      <c r="B1012" s="1"/>
      <c r="C1012" s="1"/>
      <c r="D1012" s="2"/>
      <c r="E1012" s="3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2">
      <c r="A1013" s="1"/>
      <c r="B1013" s="1"/>
      <c r="C1013" s="1"/>
      <c r="D1013" s="2"/>
      <c r="E1013" s="3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" customHeight="1" x14ac:dyDescent="0.2">
      <c r="B1014" s="1"/>
      <c r="C1014" s="1"/>
      <c r="D1014" s="2"/>
      <c r="E1014" s="3"/>
      <c r="F1014" s="1"/>
      <c r="G1014" s="1"/>
    </row>
  </sheetData>
  <mergeCells count="10">
    <mergeCell ref="B63:F63"/>
    <mergeCell ref="B64:F64"/>
    <mergeCell ref="B68:F68"/>
    <mergeCell ref="B73:D73"/>
    <mergeCell ref="B2:G2"/>
    <mergeCell ref="C14:F14"/>
    <mergeCell ref="C30:E30"/>
    <mergeCell ref="C33:E33"/>
    <mergeCell ref="B50:F50"/>
    <mergeCell ref="B51:F51"/>
  </mergeCells>
  <dataValidations count="2">
    <dataValidation type="list" allowBlank="1" showErrorMessage="1" sqref="C10:C13" xr:uid="{E38D4F02-0637-4789-B195-80A03C495636}">
      <formula1>"Simple,Intermedio,Complejo"</formula1>
    </dataValidation>
    <dataValidation type="decimal" allowBlank="1" showInputMessage="1" showErrorMessage="1" prompt="Entre 1 y 9 personas." sqref="B90" xr:uid="{A8D0A791-64C1-424E-8C6E-DE1505E95120}">
      <formula1>1</formula1>
      <formula2>9</formula2>
    </dataValidation>
  </dataValidations>
  <hyperlinks>
    <hyperlink ref="H36" r:id="rId1" location="v=onepage&amp;q=e7%20part-time%20members&amp;f=false" xr:uid="{BFA3B7F8-1D43-4E74-AE7D-673CED27493B}"/>
    <hyperlink ref="H54" r:id="rId2" location="v=onepage&amp;q=e7%20part-time%20members&amp;f=false" xr:uid="{E5D7B01F-2EBE-401A-A5F5-D1D98EC1AE18}"/>
  </hyperlinks>
  <pageMargins left="0.75" right="0.75" top="1" bottom="1" header="0" footer="0"/>
  <pageSetup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CasoNormal</vt:lpstr>
      <vt:lpstr>CasoOptimista</vt:lpstr>
      <vt:lpstr>CasoPesimista</vt:lpstr>
      <vt:lpstr>CasoNormal!solver_opt</vt:lpstr>
      <vt:lpstr>CasoOptimista!solver_opt</vt:lpstr>
      <vt:lpstr>CasoPesimista!solver_opt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2021-09-16T15:20:38Z</dcterms:created>
  <dcterms:modified xsi:type="dcterms:W3CDTF">2026-09-24T18:32:34Z</dcterms:modified>
</cp:coreProperties>
</file>