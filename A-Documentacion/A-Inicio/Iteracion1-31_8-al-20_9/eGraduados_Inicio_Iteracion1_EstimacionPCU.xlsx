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CF98BB25-001D-4483-BFCA-38E3DBE27A7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lantilla" sheetId="1" r:id="rId1"/>
  </sheets>
  <definedNames>
    <definedName name="solver_eng" localSheetId="0">1</definedName>
    <definedName name="solver_neg" localSheetId="0">1</definedName>
    <definedName name="solver_num" localSheetId="0">0</definedName>
    <definedName name="solver_opt" localSheetId="0">Plantilla!$D$65</definedName>
    <definedName name="solver_typ" localSheetId="0">1</definedName>
    <definedName name="solver_val" localSheetId="0">0</definedName>
    <definedName name="solver_ver" localSheetId="0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+s54X7NFLcJJ76RGdM6YaLKO1pFzKsOQgwQ7eQmZd6U="/>
    </ext>
  </extLst>
</workbook>
</file>

<file path=xl/calcChain.xml><?xml version="1.0" encoding="utf-8"?>
<calcChain xmlns="http://schemas.openxmlformats.org/spreadsheetml/2006/main">
  <c r="C74" i="1" l="1"/>
  <c r="C75" i="1" l="1"/>
  <c r="C80" i="1"/>
  <c r="G58" i="1"/>
  <c r="D65" i="1" s="1"/>
  <c r="G55" i="1"/>
  <c r="G54" i="1"/>
  <c r="G53" i="1"/>
  <c r="G52" i="1"/>
  <c r="G51" i="1"/>
  <c r="G50" i="1"/>
  <c r="G49" i="1"/>
  <c r="G48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F22" i="1"/>
  <c r="E22" i="1"/>
  <c r="F21" i="1"/>
  <c r="E21" i="1"/>
  <c r="F20" i="1"/>
  <c r="E20" i="1"/>
  <c r="F19" i="1"/>
  <c r="E19" i="1"/>
  <c r="F18" i="1"/>
  <c r="E18" i="1"/>
  <c r="F17" i="1"/>
  <c r="E17" i="1"/>
  <c r="E12" i="1"/>
  <c r="G12" i="1" s="1"/>
  <c r="E11" i="1"/>
  <c r="G11" i="1" s="1"/>
  <c r="E10" i="1"/>
  <c r="G10" i="1" s="1"/>
  <c r="G56" i="1" l="1"/>
  <c r="G57" i="1" s="1"/>
  <c r="G13" i="1"/>
  <c r="G43" i="1"/>
  <c r="G44" i="1" s="1"/>
  <c r="F23" i="1"/>
  <c r="C81" i="1"/>
  <c r="C65" i="1"/>
  <c r="F26" i="1" l="1"/>
  <c r="G61" i="1" s="1"/>
  <c r="C67" i="1" l="1"/>
  <c r="B67" i="1"/>
  <c r="D67" i="1"/>
  <c r="D68" i="1" l="1"/>
  <c r="F81" i="1" s="1"/>
  <c r="D86" i="1" s="1"/>
  <c r="D89" i="1" s="1"/>
  <c r="F73" i="1"/>
  <c r="B68" i="1"/>
  <c r="D79" i="1" s="1"/>
  <c r="D73" i="1"/>
  <c r="D74" i="1" s="1"/>
  <c r="D75" i="1" s="1"/>
  <c r="C68" i="1"/>
  <c r="E73" i="1"/>
  <c r="F79" i="1" l="1"/>
  <c r="F80" i="1"/>
  <c r="E74" i="1"/>
  <c r="E75" i="1" s="1"/>
  <c r="F74" i="1"/>
  <c r="F75" i="1" s="1"/>
  <c r="E80" i="1"/>
  <c r="E79" i="1"/>
  <c r="E81" i="1"/>
  <c r="C86" i="1" s="1"/>
  <c r="C89" i="1" s="1"/>
  <c r="D80" i="1"/>
  <c r="D81" i="1"/>
  <c r="B86" i="1" s="1"/>
  <c r="B89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Usuario</author>
  </authors>
  <commentList>
    <comment ref="C9" authorId="0" shapeId="0" xr:uid="{00000000-0006-0000-0000-000001000000}">
      <text>
        <r>
          <rPr>
            <sz val="10"/>
            <color rgb="FF000000"/>
            <rFont val="Arial"/>
            <scheme val="minor"/>
          </rPr>
          <t>======
ID#AAAA4EXGEYI
Autor    (2023-08-29 20:18:46)
Complejo: =3
  - Operador a través de Interfaz Gráfica de Usuario (GUI)
Intermedio: -&gt; 2 
  - Otro sistema a través de un protocolo (TCP/IP, HTTP, SOAP)
  - Operador humano a través de interfaz de comandos de texto (CLI)
Simple: -&gt; 1
  - Otro sistema a través de una Interfaz de Programación de Aplicaciones (API)</t>
        </r>
      </text>
    </comment>
    <comment ref="C16" authorId="0" shapeId="0" xr:uid="{00000000-0006-0000-0000-000002000000}">
      <text>
        <r>
          <rPr>
            <sz val="10"/>
            <color rgb="FF000000"/>
            <rFont val="Arial"/>
            <scheme val="minor"/>
          </rPr>
          <t>======
ID#AAAA4EXGEY0
Ejemplo    (2023-08-29 20:18:46)
contar transacciones
Flujo.Ppal.: transacciones 1, 2, 3, 4. 
Flujo Alt.: 0 transaccioines. 
Excepciones.: N/A -&gt; 0 transacciones
-&gt; suma = 4 transacciones</t>
        </r>
      </text>
    </comment>
    <comment ref="B30" authorId="0" shapeId="0" xr:uid="{00000000-0006-0000-0000-000003000000}">
      <text>
        <r>
          <rPr>
            <sz val="10"/>
            <color rgb="FF000000"/>
            <rFont val="Arial"/>
            <scheme val="minor"/>
          </rPr>
          <t>======
ID#AAAA4EXGEXg
Autor    (2023-08-29 20:18:46)
¿Arquitectura centralizada o distribuida?</t>
        </r>
      </text>
    </comment>
    <comment ref="B31" authorId="0" shapeId="0" xr:uid="{00000000-0006-0000-0000-000004000000}">
      <text>
        <r>
          <rPr>
            <sz val="10"/>
            <color rgb="FF000000"/>
            <rFont val="Arial"/>
            <scheme val="minor"/>
          </rPr>
          <t>======
ID#AAAA4EXGEYo
Autor    (2023-08-29 20:18:46)
¿Cuál es la importancia del tiempo de respuesta de la aplicación para el usuario final?</t>
        </r>
      </text>
    </comment>
    <comment ref="B32" authorId="0" shapeId="0" xr:uid="{00000000-0006-0000-0000-000005000000}">
      <text>
        <r>
          <rPr>
            <sz val="10"/>
            <color rgb="FF000000"/>
            <rFont val="Arial"/>
            <scheme val="minor"/>
          </rPr>
          <t>======
ID#AAAA4EXGEX4
Autor    (2023-08-29 20:18:46)
¿La aplicacion está diseñada para que el usuario incremente SU eficiencia (no solo cumpla su cometido)?</t>
        </r>
      </text>
    </comment>
    <comment ref="B33" authorId="0" shapeId="0" xr:uid="{00000000-0006-0000-0000-000006000000}">
      <text>
        <r>
          <rPr>
            <sz val="10"/>
            <color rgb="FF000000"/>
            <rFont val="Arial"/>
            <scheme val="minor"/>
          </rPr>
          <t>======
ID#AAAA4EXGEXQ
Autor    (2023-08-29 20:18:46)
¿La aplicación requiere de algoritmos complejos?</t>
        </r>
      </text>
    </comment>
    <comment ref="B34" authorId="0" shapeId="0" xr:uid="{00000000-0006-0000-0000-000007000000}">
      <text>
        <r>
          <rPr>
            <sz val="10"/>
            <color rgb="FF000000"/>
            <rFont val="Arial"/>
            <scheme val="minor"/>
          </rPr>
          <t>======
ID#AAAA4EXGEYQ
Autor    (2023-08-29 20:18:46)
¿La aplicación requiere diseñarse para ser altamente reusable?</t>
        </r>
      </text>
    </comment>
    <comment ref="B35" authorId="0" shapeId="0" xr:uid="{00000000-0006-0000-0000-000008000000}">
      <text>
        <r>
          <rPr>
            <sz val="10"/>
            <color rgb="FF000000"/>
            <rFont val="Arial"/>
            <scheme val="minor"/>
          </rPr>
          <t>======
ID#AAAA4EXGEXU
Autor    (2023-08-29 20:18:46)
¿La aplicación debe ser de fácil instalación (para usuarios sin capacidad técnica) o no?</t>
        </r>
      </text>
    </comment>
    <comment ref="B36" authorId="0" shapeId="0" xr:uid="{00000000-0006-0000-0000-000009000000}">
      <text>
        <r>
          <rPr>
            <sz val="10"/>
            <color rgb="FF000000"/>
            <rFont val="Arial"/>
            <scheme val="minor"/>
          </rPr>
          <t>======
ID#AAAA4EXGEYY
Autor    (2023-08-29 20:18:46)
¿Hay requerimientos especiales respecto de la facilidad de uso?</t>
        </r>
      </text>
    </comment>
    <comment ref="B37" authorId="0" shapeId="0" xr:uid="{00000000-0006-0000-0000-00000A000000}">
      <text>
        <r>
          <rPr>
            <sz val="10"/>
            <color rgb="FF000000"/>
            <rFont val="Arial"/>
            <scheme val="minor"/>
          </rPr>
          <t>======
ID#AAAA4EXGEYw
Autor    (2023-08-29 20:18:46)
¿La aplicación, debe funcionar en más de una plataforma?</t>
        </r>
      </text>
    </comment>
    <comment ref="B38" authorId="0" shapeId="0" xr:uid="{00000000-0006-0000-0000-00000B000000}">
      <text>
        <r>
          <rPr>
            <sz val="10"/>
            <color rgb="FF000000"/>
            <rFont val="Arial"/>
            <scheme val="minor"/>
          </rPr>
          <t>======
ID#AAAA4EXGEYg
Autor    (2023-08-29 20:18:46)
¿El cliente requiere que la aplicación se pueda cambiar fácilmente en el futuro?</t>
        </r>
      </text>
    </comment>
    <comment ref="B39" authorId="0" shapeId="0" xr:uid="{00000000-0006-0000-0000-00000C000000}">
      <text>
        <r>
          <rPr>
            <sz val="10"/>
            <color rgb="FF000000"/>
            <rFont val="Arial"/>
            <scheme val="minor"/>
          </rPr>
          <t>======
ID#AAAA4EXGEXc
Autor    (2023-08-29 20:18:46)
¿Hace falta consideraciones especiales para el acceso concurrente (paralelo) a datos y otros recursos?</t>
        </r>
      </text>
    </comment>
    <comment ref="B40" authorId="0" shapeId="0" xr:uid="{00000000-0006-0000-0000-00000D000000}">
      <text>
        <r>
          <rPr>
            <sz val="10"/>
            <color rgb="FF000000"/>
            <rFont val="Arial"/>
            <scheme val="minor"/>
          </rPr>
          <t>======
ID#AAAA4EXGEXs
Autor    (2023-08-29 20:18:46)
¿Es suficiente con las prestaciones de seguridad normales, o hace falta algo especial?</t>
        </r>
      </text>
    </comment>
    <comment ref="B41" authorId="0" shapeId="0" xr:uid="{00000000-0006-0000-0000-00000E000000}">
      <text>
        <r>
          <rPr>
            <sz val="10"/>
            <color rgb="FF000000"/>
            <rFont val="Arial"/>
            <scheme val="minor"/>
          </rPr>
          <t>======
ID#AAAA4EXGEXk
Autor    (2023-08-29 20:18:46)
¿Nuestro código usará componentes COTS, librerías frameworks ya desarrollados? Si así fuera, reducirá la carga de trabajo de desarrollo.</t>
        </r>
      </text>
    </comment>
    <comment ref="B42" authorId="0" shapeId="0" xr:uid="{00000000-0006-0000-0000-00000F000000}">
      <text>
        <r>
          <rPr>
            <sz val="10"/>
            <color rgb="FF000000"/>
            <rFont val="Arial"/>
            <scheme val="minor"/>
          </rPr>
          <t>======
ID#AAAA4EXGEYs
Autor    (2023-08-29 20:18:46)
¿Se requiere formación específica para los Usuarios?</t>
        </r>
      </text>
    </comment>
    <comment ref="B48" authorId="0" shapeId="0" xr:uid="{00000000-0006-0000-0000-000010000000}">
      <text>
        <r>
          <rPr>
            <sz val="10"/>
            <color rgb="FF000000"/>
            <rFont val="Arial"/>
            <scheme val="minor"/>
          </rPr>
          <t>======
ID#AAAA4EXGEYU
Autor    (2023-08-29 20:18:46)
Debe reflejar el hecho de que el equipo conoce el proceso y el lenguaje de modelado (p.ej.: RUP, UML). Puede ser cualquier otro proceso.</t>
        </r>
      </text>
    </comment>
    <comment ref="B49" authorId="0" shapeId="0" xr:uid="{00000000-0006-0000-0000-000011000000}">
      <text>
        <r>
          <rPr>
            <sz val="10"/>
            <color rgb="FF000000"/>
            <rFont val="Arial"/>
            <scheme val="minor"/>
          </rPr>
          <t>======
ID#AAAA4EXGEX8
Autor    (2023-08-29 20:18:46)
¿Ya trabajado el equipo en el area (dominio) de la aplicación?</t>
        </r>
      </text>
    </comment>
    <comment ref="B50" authorId="0" shapeId="0" xr:uid="{00000000-0006-0000-0000-000012000000}">
      <text>
        <r>
          <rPr>
            <sz val="10"/>
            <color rgb="FF000000"/>
            <rFont val="Arial"/>
            <scheme val="minor"/>
          </rPr>
          <t>======
ID#AAAA4EXGEXw
Autor    (2023-08-29 20:18:46)
Se refiere exclusivamente a la experiencia en el análisis, modelado, diseño y progrmación  mediante el paradigma de OO.</t>
        </r>
      </text>
    </comment>
    <comment ref="B51" authorId="0" shapeId="0" xr:uid="{00000000-0006-0000-0000-000013000000}">
      <text>
        <r>
          <rPr>
            <sz val="10"/>
            <color rgb="FF000000"/>
            <rFont val="Arial"/>
            <scheme val="minor"/>
          </rPr>
          <t>======
ID#AAAA4EXGEXY
Autor    (2023-08-29 20:18:46)
Se refiere a la experiencia en el análisis de requerimientos y modelado orientado a objetos del Analista Principal.</t>
        </r>
      </text>
    </comment>
    <comment ref="B52" authorId="0" shapeId="0" xr:uid="{00000000-0006-0000-0000-000014000000}">
      <text>
        <r>
          <rPr>
            <sz val="10"/>
            <color rgb="FF000000"/>
            <rFont val="Arial"/>
            <scheme val="minor"/>
          </rPr>
          <t>======
ID#AAAA4EXGEXo
Autor    (2023-08-29 20:18:46)
Motivación del equipo.</t>
        </r>
      </text>
    </comment>
    <comment ref="B53" authorId="0" shapeId="0" xr:uid="{00000000-0006-0000-0000-000015000000}">
      <text>
        <r>
          <rPr>
            <sz val="10"/>
            <color rgb="FF000000"/>
            <rFont val="Arial"/>
            <scheme val="minor"/>
          </rPr>
          <t>======
ID#AAAA4EXGEY4
Autor    (2023-08-29 20:18:46)
Evalúa si los analistas han sido capaces de mantener estables los requerimientos en el pasado, minimizando los cambios del software.</t>
        </r>
      </text>
    </comment>
    <comment ref="B54" authorId="0" shapeId="0" xr:uid="{00000000-0006-0000-0000-000016000000}">
      <text>
        <r>
          <rPr>
            <sz val="10"/>
            <color rgb="FF000000"/>
            <rFont val="Arial"/>
            <scheme val="minor"/>
          </rPr>
          <t>======
ID#AAAA4EXGEYM
Autor    (2023-08-29 20:18:46)
Este es un factor con signo opuesto a los factores E6 y anteriores. Cuanto mayor la evaluación, peor el resultado.</t>
        </r>
      </text>
    </comment>
    <comment ref="B55" authorId="0" shapeId="0" xr:uid="{00000000-0006-0000-0000-000017000000}">
      <text>
        <r>
          <rPr>
            <sz val="10"/>
            <color rgb="FF000000"/>
            <rFont val="Arial"/>
            <scheme val="minor"/>
          </rPr>
          <t>======
ID#AAAA4EXGEYc
Autor    (2023-08-29 20:18:46)
Este es un factor con signo opuesto a los factores E6 y anteriores. Cuanto mayor la evaluación, peor el resultado.</t>
        </r>
      </text>
    </comment>
    <comment ref="G65" authorId="0" shapeId="0" xr:uid="{00000000-0006-0000-0000-000018000000}">
      <text>
        <r>
          <rPr>
            <sz val="10"/>
            <color rgb="FF000000"/>
            <rFont val="Arial"/>
            <scheme val="minor"/>
          </rPr>
          <t>======
ID#AAAA4EXGEYA
Autor    (2023-08-29 20:18:46)
Este valor lo debe rellenar el propio estimador mediante una medición pequeña que se use como muestra. 
Como valor orientativo
Java15 (07/2020), muy principiante, autodidacta -&gt;2.5hh/AUCP
Es una Estadística que debe actualizarse proyecto a proyecto.</t>
        </r>
      </text>
    </comment>
    <comment ref="B68" authorId="1" shapeId="0" xr:uid="{00000000-0006-0000-0000-000019000000}">
      <text>
        <r>
          <rPr>
            <b/>
            <sz val="9"/>
            <color indexed="81"/>
            <rFont val="Tahoma"/>
            <charset val="1"/>
          </rPr>
          <t>Usuario:</t>
        </r>
        <r>
          <rPr>
            <sz val="9"/>
            <color indexed="81"/>
            <rFont val="Tahoma"/>
            <charset val="1"/>
          </rPr>
          <t xml:space="preserve">
Para el caso clásico se contempla una dedicación promedio por integrante de 8hs diarias</t>
        </r>
      </text>
    </comment>
    <comment ref="C68" authorId="1" shapeId="0" xr:uid="{00000000-0006-0000-0000-00001A000000}">
      <text>
        <r>
          <rPr>
            <b/>
            <sz val="9"/>
            <color indexed="81"/>
            <rFont val="Tahoma"/>
            <charset val="1"/>
          </rPr>
          <t>Usuario:</t>
        </r>
        <r>
          <rPr>
            <sz val="9"/>
            <color indexed="81"/>
            <rFont val="Tahoma"/>
            <charset val="1"/>
          </rPr>
          <t xml:space="preserve">
Para el caso clásico se contempla una dedicación promedio por integrante de 8hs diarias</t>
        </r>
      </text>
    </comment>
    <comment ref="G68" authorId="1" shapeId="0" xr:uid="{00000000-0006-0000-0000-00001B000000}">
      <text>
        <r>
          <rPr>
            <b/>
            <sz val="9"/>
            <color indexed="81"/>
            <rFont val="Tahoma"/>
            <charset val="1"/>
          </rPr>
          <t>Usuario:</t>
        </r>
        <r>
          <rPr>
            <sz val="9"/>
            <color indexed="81"/>
            <rFont val="Tahoma"/>
            <charset val="1"/>
          </rPr>
          <t xml:space="preserve">
Indicar la dedicación promedio diaria por integrante REAL del equipo</t>
        </r>
      </text>
    </comment>
    <comment ref="B71" authorId="0" shapeId="0" xr:uid="{00000000-0006-0000-0000-00001C000000}">
      <text>
        <r>
          <rPr>
            <sz val="10"/>
            <color rgb="FF000000"/>
            <rFont val="Arial"/>
            <scheme val="minor"/>
          </rPr>
          <t>======
ID#AAAA4EXGEYE
Autor    (2023-08-29 20:18:46)
Esta distribución es una referencia. Proyecto a proyecto debe actualizarse mediante  ESTADISTICAS.</t>
        </r>
      </text>
    </comment>
    <comment ref="B74" authorId="0" shapeId="0" xr:uid="{00000000-0006-0000-0000-00001D000000}">
      <text>
        <r>
          <rPr>
            <sz val="10"/>
            <color rgb="FF000000"/>
            <rFont val="Arial"/>
            <scheme val="minor"/>
          </rPr>
          <t>======
ID#AAAA4EXGEYk
Autor    (2023-08-29 20:18:46)
Análisis/Diseño/Pruebas/Sobrecarga</t>
        </r>
      </text>
    </comment>
    <comment ref="B77" authorId="0" shapeId="0" xr:uid="{00000000-0006-0000-0000-00001E000000}">
      <text>
        <r>
          <rPr>
            <sz val="10"/>
            <color rgb="FF000000"/>
            <rFont val="Arial"/>
            <scheme val="minor"/>
          </rPr>
          <t>======
ID#AAAA4EXGEYE
Autor    (2023-08-29 20:18:46)
Esta distribución es una referencia. Proyecto a proyecto debe actualizarse mediante  ESTADISTICAS.</t>
        </r>
      </text>
    </comment>
    <comment ref="B80" authorId="0" shapeId="0" xr:uid="{00000000-0006-0000-0000-00001F000000}">
      <text>
        <r>
          <rPr>
            <sz val="10"/>
            <color rgb="FF000000"/>
            <rFont val="Arial"/>
            <scheme val="minor"/>
          </rPr>
          <t>======
ID#AAAA4EXGEYk
Autor    (2023-08-29 20:18:46)
Análisis/Diseño/Pruebas/Sobrecarga</t>
        </r>
      </text>
    </comment>
    <comment ref="B83" authorId="0" shapeId="0" xr:uid="{00000000-0006-0000-0000-000020000000}">
      <text>
        <r>
          <rPr>
            <sz val="10"/>
            <color rgb="FF000000"/>
            <rFont val="Arial"/>
            <scheme val="minor"/>
          </rPr>
          <t>======
ID#AAAA4EXGEX0
Autor    (2023-08-29 20:18:46)
Lo debe sugerir el estimador.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ZRtrpRPhskmwylDfdNk2hbXE5dg=="/>
    </ext>
  </extLst>
</comments>
</file>

<file path=xl/sharedStrings.xml><?xml version="1.0" encoding="utf-8"?>
<sst xmlns="http://schemas.openxmlformats.org/spreadsheetml/2006/main" count="166" uniqueCount="119">
  <si>
    <t>ESTIMACIÓN por PUNTOS de CASO de USO</t>
  </si>
  <si>
    <t>Proyecto:</t>
  </si>
  <si>
    <t>Gestor de Proyecto:</t>
  </si>
  <si>
    <t>1. PESO DE LOS ACTORES</t>
  </si>
  <si>
    <t>Actor</t>
  </si>
  <si>
    <t>Factor de Peso Actores</t>
  </si>
  <si>
    <t>Descripción</t>
  </si>
  <si>
    <t>Peso</t>
  </si>
  <si>
    <t>Número actores</t>
  </si>
  <si>
    <t>Valor ponderado</t>
  </si>
  <si>
    <t>Complejo</t>
  </si>
  <si>
    <t>Intermedio</t>
  </si>
  <si>
    <t>Simple</t>
  </si>
  <si>
    <t xml:space="preserve">Peso Total Actores, sin ajustar (UAW) </t>
  </si>
  <si>
    <t>2. PESO DE LOS CU</t>
  </si>
  <si>
    <t>Casos de Uso</t>
  </si>
  <si>
    <t>Comentario</t>
  </si>
  <si>
    <t>Número de transacciones</t>
  </si>
  <si>
    <t>Complejidad</t>
  </si>
  <si>
    <t>CU1:  Validar PIN</t>
  </si>
  <si>
    <t>1-2, 2a</t>
  </si>
  <si>
    <t>CU2: Seleccionar Servicio</t>
  </si>
  <si>
    <t>1, 1a, 1b, 1c</t>
  </si>
  <si>
    <t>CU3</t>
  </si>
  <si>
    <t>CU4</t>
  </si>
  <si>
    <t>CU5</t>
  </si>
  <si>
    <t>CU6</t>
  </si>
  <si>
    <t xml:space="preserve">Peso Total CU, sin ajustar (UUCW) </t>
  </si>
  <si>
    <t>3. PCU SIN AJUSTE</t>
  </si>
  <si>
    <r>
      <rPr>
        <b/>
        <sz val="12"/>
        <color theme="1"/>
        <rFont val="Calibri"/>
        <family val="2"/>
      </rPr>
      <t xml:space="preserve">Puntos de CU No Ajustados: </t>
    </r>
    <r>
      <rPr>
        <b/>
        <sz val="12"/>
        <color rgb="FFFF0000"/>
        <rFont val="Calibri"/>
        <family val="2"/>
      </rPr>
      <t>UUCP = UAW + UUCW</t>
    </r>
  </si>
  <si>
    <t>4. COMPLEJIDAD TECNICA</t>
  </si>
  <si>
    <t>Factores de Peso Técnicos</t>
  </si>
  <si>
    <t>Escala de asignación</t>
  </si>
  <si>
    <t>Características especiales</t>
  </si>
  <si>
    <t>Evaluación</t>
  </si>
  <si>
    <t>Impacto</t>
  </si>
  <si>
    <t>Ver 4.2 Use Case Point Analysis e11</t>
  </si>
  <si>
    <t>T1  Sistema Distribuido</t>
  </si>
  <si>
    <t>0=no importante  5=esencial</t>
  </si>
  <si>
    <t>¡Describir!</t>
  </si>
  <si>
    <t>Object-Oriented Analysis and Design for Information Systems: Modeling with UML, OCL, and IFML</t>
  </si>
  <si>
    <t>T2  Objetivos de Desempeño o Tiempo de Respuesta</t>
  </si>
  <si>
    <t>T3  Eficiencia Usuario Final</t>
  </si>
  <si>
    <t>T4  Procesamiento Interno Complejo</t>
  </si>
  <si>
    <t>T5  Código Debe Ser Reusable</t>
  </si>
  <si>
    <t>T6  Facilidad de Instalación</t>
  </si>
  <si>
    <t>T7  Facilidad de Uso</t>
  </si>
  <si>
    <t>T8  Portabilidad</t>
  </si>
  <si>
    <t>T9  Facilidad de Cambio</t>
  </si>
  <si>
    <t>T10 Concurrencia</t>
  </si>
  <si>
    <t>T11 Incluye Características Especiales de Seguridad</t>
  </si>
  <si>
    <t>T12 Acceso Directo a Código de Terceros</t>
  </si>
  <si>
    <t>T13 Necesidades de formación para los Usuarios</t>
  </si>
  <si>
    <r>
      <rPr>
        <b/>
        <sz val="12"/>
        <color theme="1"/>
        <rFont val="Calibri"/>
        <family val="2"/>
      </rPr>
      <t xml:space="preserve">Factores Técnicos: TF = </t>
    </r>
    <r>
      <rPr>
        <b/>
        <sz val="12"/>
        <color theme="1"/>
        <rFont val="Calibri"/>
        <family val="2"/>
      </rPr>
      <t xml:space="preserve">∑ </t>
    </r>
    <r>
      <rPr>
        <b/>
        <sz val="12"/>
        <color theme="1"/>
        <rFont val="Calibri"/>
        <family val="2"/>
      </rPr>
      <t xml:space="preserve">(Peso * Evaluacion ) </t>
    </r>
  </si>
  <si>
    <r>
      <rPr>
        <b/>
        <sz val="12"/>
        <color theme="1"/>
        <rFont val="Calibri"/>
        <family val="2"/>
      </rPr>
      <t xml:space="preserve">Factor de Complejidad Técnica:  </t>
    </r>
    <r>
      <rPr>
        <b/>
        <sz val="12"/>
        <color rgb="FFFF0000"/>
        <rFont val="Calibri"/>
        <family val="2"/>
      </rPr>
      <t xml:space="preserve">TCF = 0,06 + 0,01*TC </t>
    </r>
  </si>
  <si>
    <t>5. FACTORES DEL ENTORNO</t>
  </si>
  <si>
    <t>Factores de Peso Ambientales del Equipo</t>
  </si>
  <si>
    <t>Escala de 0 a 5</t>
  </si>
  <si>
    <t>Razón</t>
  </si>
  <si>
    <t>Ver 4.2 Use Case Point Analysis e17</t>
  </si>
  <si>
    <t>E1 Familiaridad con un Proceso Definido</t>
  </si>
  <si>
    <t>0 = sin experiencia, 3=media, 5=experto</t>
  </si>
  <si>
    <t>E2 Experiencia en el Dominio de Aplicación</t>
  </si>
  <si>
    <t>E3 Experiencia en Orientación a Objetos</t>
  </si>
  <si>
    <t>E4 Capacidad de Liderazgo del  Analista Principal</t>
  </si>
  <si>
    <t>E5 Motivación</t>
  </si>
  <si>
    <t>0=sin, 3=media, 5=alta</t>
  </si>
  <si>
    <t>E6 Requerimientos Estables</t>
  </si>
  <si>
    <t>0=extremadamente inestable, 5=no cambian</t>
  </si>
  <si>
    <t>E7 Miembros a Tiempo Parcial</t>
  </si>
  <si>
    <t>0=0% tiempo parcial, 1=h/10% t. parcial, 2=h/20% t. parcial, 3=h/40% t. parcial, 4=h/60% t. parcial, 5= más de 60% t. parcial</t>
  </si>
  <si>
    <t>E8 Dificultad con el lenguaje de Programación</t>
  </si>
  <si>
    <t>0=todos miembros muy experimentados. 1= Mayoría +2años experiencia. 2. Todos +18 meses experiencia 3. Mayoría +18 meses experiencia 4. Pocos hasta 1 año experiencia 5. Ninguno experiencia</t>
  </si>
  <si>
    <t xml:space="preserve">Factores Ambientales: EF = ∑ (Peso * Evaluacion ) </t>
  </si>
  <si>
    <r>
      <rPr>
        <b/>
        <sz val="12"/>
        <color theme="1"/>
        <rFont val="Calibri"/>
        <family val="2"/>
      </rPr>
      <t xml:space="preserve">Factor de Complejidad Ambiental: </t>
    </r>
    <r>
      <rPr>
        <b/>
        <sz val="12"/>
        <color rgb="FFFF0000"/>
        <rFont val="Calibri"/>
        <family val="2"/>
      </rPr>
      <t>ECF = 1.4 + (-0.03*EF)</t>
    </r>
  </si>
  <si>
    <t>FPA desfavorables</t>
  </si>
  <si>
    <t>6. PCU AJUSTADOS</t>
  </si>
  <si>
    <r>
      <rPr>
        <b/>
        <sz val="12"/>
        <color theme="1"/>
        <rFont val="Calibri"/>
        <family val="2"/>
      </rPr>
      <t xml:space="preserve">Puntos de Casos de Uso Ajustados: AUCP = </t>
    </r>
    <r>
      <rPr>
        <b/>
        <sz val="12"/>
        <color rgb="FFFF0000"/>
        <rFont val="Calibri"/>
        <family val="2"/>
      </rPr>
      <t>UUCP * TCF * ECF</t>
    </r>
  </si>
  <si>
    <t>7. ESFUERZO CODIFICACION</t>
  </si>
  <si>
    <t>h-h / AUCP: Karner</t>
  </si>
  <si>
    <t>h-h / AUCP: Schneider &amp; Winters</t>
  </si>
  <si>
    <t>h-h / AUCP: Estadística propia</t>
  </si>
  <si>
    <t>h-h/UCP: Velocidad propia</t>
  </si>
  <si>
    <t>Esfuerzo</t>
  </si>
  <si>
    <t>Esfuerzo (h-h)</t>
  </si>
  <si>
    <t>Esfuerzo (mes-h)</t>
  </si>
  <si>
    <t>Actividad</t>
  </si>
  <si>
    <t>Porcentaje</t>
  </si>
  <si>
    <t>Karner
(m-h)</t>
  </si>
  <si>
    <t>Sch&amp;Win
(m-h)</t>
  </si>
  <si>
    <t>Propia
(m-h)</t>
  </si>
  <si>
    <t>Codificación</t>
  </si>
  <si>
    <t>Actividades restantes</t>
  </si>
  <si>
    <t>9. NUMERO PERSONAS</t>
  </si>
  <si>
    <t>10. DURACION PROYECTO</t>
  </si>
  <si>
    <t>Karner
(m)</t>
  </si>
  <si>
    <t>Sch&amp;Win
(m)</t>
  </si>
  <si>
    <t>Propia
(m)</t>
  </si>
  <si>
    <t>Dedicación Diaria (hs)</t>
  </si>
  <si>
    <t>Distribución Esfuerzo por Tarea (expresado en m-h)</t>
  </si>
  <si>
    <t>8a. ESFUERZO TOTAL</t>
  </si>
  <si>
    <t>8b. ESFUERZO TOTAL</t>
  </si>
  <si>
    <t>Distribución Esfuerzo por Tarea (expresado en h-h)</t>
  </si>
  <si>
    <t>Karner
(h-h)</t>
  </si>
  <si>
    <t>Sch&amp;Win
(h-h)</t>
  </si>
  <si>
    <t>Propia
(h-h)</t>
  </si>
  <si>
    <t>FECHA FINALIZACIÓN</t>
  </si>
  <si>
    <t>11. FECHA ESTIMACIÓN</t>
  </si>
  <si>
    <t>Iteración</t>
  </si>
  <si>
    <t>Fecha de estimación</t>
  </si>
  <si>
    <t>eGradudos</t>
  </si>
  <si>
    <t>SantillánDotta Lucas Tiziano</t>
  </si>
  <si>
    <t>Inicio - Iteración 1</t>
  </si>
  <si>
    <t>UARFDlow</t>
  </si>
  <si>
    <t>BBDD</t>
  </si>
  <si>
    <t>Usuario</t>
  </si>
  <si>
    <t>Usuario principal (Departamento de Títulos y Secretaría Académica)</t>
  </si>
  <si>
    <t>BBDD en la que se almacena los datos</t>
  </si>
  <si>
    <t>Framework UARGFlow para login de usuarios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</si>
</sst>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15" x14ac:knownFonts="1">
    <font>
      <sz val="10"/>
      <color rgb="FF000000"/>
      <name val="Arial"/>
      <scheme val="minor"/>
    </font>
    <font>
      <sz val="12"/>
      <color theme="1"/>
      <name val="Calibri"/>
      <family val="2"/>
    </font>
    <font>
      <b/>
      <sz val="16"/>
      <color theme="1"/>
      <name val="Calibri"/>
      <family val="2"/>
    </font>
    <font>
      <sz val="10"/>
      <name val="Arial"/>
      <family val="2"/>
    </font>
    <font>
      <b/>
      <sz val="12"/>
      <color theme="1"/>
      <name val="Calibri"/>
      <family val="2"/>
    </font>
    <font>
      <sz val="12"/>
      <color rgb="FF3F3F76"/>
      <name val="Calibri"/>
      <family val="2"/>
    </font>
    <font>
      <b/>
      <sz val="12"/>
      <color rgb="FFFA7D00"/>
      <name val="Calibri"/>
      <family val="2"/>
    </font>
    <font>
      <b/>
      <sz val="12"/>
      <color rgb="FF3F3F3F"/>
      <name val="Calibri"/>
      <family val="2"/>
    </font>
    <font>
      <u/>
      <sz val="10"/>
      <color theme="10"/>
      <name val="Arial"/>
      <family val="2"/>
    </font>
    <font>
      <b/>
      <sz val="11"/>
      <color rgb="FFFA7D00"/>
      <name val="Calibri"/>
      <family val="2"/>
    </font>
    <font>
      <b/>
      <sz val="12"/>
      <color rgb="FF002060"/>
      <name val="Calibri"/>
      <family val="2"/>
    </font>
    <font>
      <b/>
      <sz val="12"/>
      <color rgb="FFFF0000"/>
      <name val="Calibri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2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CC99"/>
        <bgColor rgb="FFFFCC99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  <fill>
      <patternFill patternType="solid">
        <fgColor theme="0" tint="-0.14999847407452621"/>
        <bgColor rgb="FFFFCC9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rgb="FFD8D8D8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59999389629810485"/>
        <bgColor rgb="FFFFCC99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4.9989318521683403E-2"/>
        <bgColor rgb="FFFFCC99"/>
      </patternFill>
    </fill>
  </fills>
  <borders count="2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3F3F3F"/>
      </left>
      <right style="thin">
        <color rgb="FF3F3F3F"/>
      </right>
      <top/>
      <bottom style="thin">
        <color rgb="FF3F3F3F"/>
      </bottom>
      <diagonal/>
    </border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0" borderId="0" xfId="0" applyFont="1" applyAlignment="1">
      <alignment vertical="center" wrapText="1"/>
    </xf>
    <xf numFmtId="49" fontId="1" fillId="0" borderId="0" xfId="0" applyNumberFormat="1" applyFont="1" applyAlignment="1">
      <alignment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2" borderId="9" xfId="0" applyFont="1" applyFill="1" applyBorder="1" applyAlignment="1">
      <alignment horizontal="center" vertical="center" wrapText="1"/>
    </xf>
    <xf numFmtId="49" fontId="4" fillId="2" borderId="9" xfId="0" applyNumberFormat="1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vertical="center"/>
    </xf>
    <xf numFmtId="49" fontId="5" fillId="3" borderId="9" xfId="0" applyNumberFormat="1" applyFont="1" applyFill="1" applyBorder="1" applyAlignment="1">
      <alignment vertical="center"/>
    </xf>
    <xf numFmtId="0" fontId="5" fillId="3" borderId="9" xfId="0" applyFont="1" applyFill="1" applyBorder="1" applyAlignment="1">
      <alignment vertical="center" wrapText="1"/>
    </xf>
    <xf numFmtId="0" fontId="6" fillId="4" borderId="9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vertical="center" wrapText="1"/>
    </xf>
    <xf numFmtId="49" fontId="4" fillId="0" borderId="1" xfId="0" applyNumberFormat="1" applyFont="1" applyBorder="1" applyAlignment="1">
      <alignment horizontal="right" vertical="center" wrapText="1"/>
    </xf>
    <xf numFmtId="0" fontId="7" fillId="4" borderId="9" xfId="0" applyFont="1" applyFill="1" applyBorder="1" applyAlignment="1">
      <alignment horizontal="center" vertical="center" wrapText="1"/>
    </xf>
    <xf numFmtId="49" fontId="4" fillId="0" borderId="0" xfId="0" applyNumberFormat="1" applyFont="1" applyAlignment="1">
      <alignment horizontal="right" vertical="center" wrapText="1"/>
    </xf>
    <xf numFmtId="0" fontId="7" fillId="0" borderId="0" xfId="0" applyFont="1" applyAlignment="1">
      <alignment horizontal="center" vertical="center" wrapText="1"/>
    </xf>
    <xf numFmtId="49" fontId="4" fillId="0" borderId="0" xfId="0" applyNumberFormat="1" applyFont="1" applyAlignment="1">
      <alignment vertical="center" wrapText="1"/>
    </xf>
    <xf numFmtId="0" fontId="4" fillId="0" borderId="0" xfId="0" applyFont="1" applyAlignment="1">
      <alignment horizontal="right" vertical="center" wrapText="1"/>
    </xf>
    <xf numFmtId="49" fontId="4" fillId="0" borderId="0" xfId="0" applyNumberFormat="1" applyFont="1" applyAlignment="1">
      <alignment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vertical="center"/>
    </xf>
    <xf numFmtId="0" fontId="5" fillId="3" borderId="10" xfId="0" applyFont="1" applyFill="1" applyBorder="1" applyAlignment="1">
      <alignment horizontal="center" vertical="center"/>
    </xf>
    <xf numFmtId="0" fontId="4" fillId="0" borderId="11" xfId="0" applyFont="1" applyBorder="1" applyAlignment="1">
      <alignment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vertical="center" wrapText="1"/>
    </xf>
    <xf numFmtId="49" fontId="1" fillId="0" borderId="9" xfId="0" applyNumberFormat="1" applyFont="1" applyBorder="1" applyAlignment="1">
      <alignment vertical="center" wrapText="1"/>
    </xf>
    <xf numFmtId="49" fontId="5" fillId="3" borderId="9" xfId="0" applyNumberFormat="1" applyFont="1" applyFill="1" applyBorder="1" applyAlignment="1">
      <alignment horizontal="left" vertical="center"/>
    </xf>
    <xf numFmtId="49" fontId="1" fillId="4" borderId="9" xfId="0" applyNumberFormat="1" applyFont="1" applyFill="1" applyBorder="1" applyAlignment="1">
      <alignment horizontal="center" vertical="center" wrapText="1"/>
    </xf>
    <xf numFmtId="0" fontId="1" fillId="4" borderId="9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top" wrapText="1"/>
    </xf>
    <xf numFmtId="0" fontId="9" fillId="4" borderId="9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0" fontId="1" fillId="0" borderId="9" xfId="0" applyFont="1" applyBorder="1" applyAlignment="1">
      <alignment vertical="center" wrapText="1"/>
    </xf>
    <xf numFmtId="0" fontId="1" fillId="0" borderId="2" xfId="0" applyFont="1" applyBorder="1" applyAlignment="1">
      <alignment horizontal="right" vertical="center" wrapText="1"/>
    </xf>
    <xf numFmtId="49" fontId="1" fillId="0" borderId="2" xfId="0" applyNumberFormat="1" applyFont="1" applyBorder="1" applyAlignment="1">
      <alignment vertical="center" wrapText="1"/>
    </xf>
    <xf numFmtId="0" fontId="4" fillId="0" borderId="2" xfId="0" applyFont="1" applyBorder="1" applyAlignment="1">
      <alignment horizontal="right" vertical="center"/>
    </xf>
    <xf numFmtId="164" fontId="4" fillId="2" borderId="9" xfId="0" applyNumberFormat="1" applyFont="1" applyFill="1" applyBorder="1" applyAlignment="1">
      <alignment horizontal="center" vertical="center" wrapText="1"/>
    </xf>
    <xf numFmtId="0" fontId="10" fillId="5" borderId="13" xfId="0" applyFont="1" applyFill="1" applyBorder="1" applyAlignment="1">
      <alignment vertical="center" wrapText="1"/>
    </xf>
    <xf numFmtId="164" fontId="1" fillId="2" borderId="9" xfId="0" applyNumberFormat="1" applyFont="1" applyFill="1" applyBorder="1" applyAlignment="1">
      <alignment horizontal="center" vertical="center"/>
    </xf>
    <xf numFmtId="164" fontId="5" fillId="3" borderId="9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164" fontId="4" fillId="2" borderId="9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2" borderId="9" xfId="0" applyFont="1" applyFill="1" applyBorder="1" applyAlignment="1">
      <alignment horizontal="left" vertical="center" wrapText="1"/>
    </xf>
    <xf numFmtId="0" fontId="1" fillId="2" borderId="9" xfId="0" applyFont="1" applyFill="1" applyBorder="1" applyAlignment="1">
      <alignment vertical="center" wrapText="1"/>
    </xf>
    <xf numFmtId="2" fontId="1" fillId="0" borderId="0" xfId="0" applyNumberFormat="1" applyFont="1" applyAlignment="1">
      <alignment vertical="center" wrapText="1"/>
    </xf>
    <xf numFmtId="164" fontId="1" fillId="0" borderId="9" xfId="0" applyNumberFormat="1" applyFont="1" applyBorder="1" applyAlignment="1">
      <alignment horizontal="center" vertical="center" wrapText="1"/>
    </xf>
    <xf numFmtId="2" fontId="1" fillId="0" borderId="0" xfId="0" applyNumberFormat="1" applyFont="1" applyAlignment="1">
      <alignment horizontal="right" vertical="center" wrapText="1"/>
    </xf>
    <xf numFmtId="2" fontId="4" fillId="0" borderId="0" xfId="0" applyNumberFormat="1" applyFont="1" applyAlignment="1">
      <alignment vertical="center" wrapText="1"/>
    </xf>
    <xf numFmtId="14" fontId="5" fillId="3" borderId="9" xfId="0" applyNumberFormat="1" applyFont="1" applyFill="1" applyBorder="1" applyAlignment="1">
      <alignment horizontal="center" vertical="center" wrapText="1"/>
    </xf>
    <xf numFmtId="14" fontId="5" fillId="6" borderId="9" xfId="0" applyNumberFormat="1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left" vertical="center"/>
    </xf>
    <xf numFmtId="0" fontId="4" fillId="0" borderId="13" xfId="0" applyFont="1" applyBorder="1" applyAlignment="1">
      <alignment horizontal="center" vertical="center"/>
    </xf>
    <xf numFmtId="0" fontId="4" fillId="7" borderId="14" xfId="0" applyFont="1" applyFill="1" applyBorder="1" applyAlignment="1">
      <alignment horizontal="left"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7" borderId="17" xfId="0" applyFont="1" applyFill="1" applyBorder="1" applyAlignment="1">
      <alignment horizontal="left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2" fontId="1" fillId="8" borderId="9" xfId="0" applyNumberFormat="1" applyFont="1" applyFill="1" applyBorder="1" applyAlignment="1">
      <alignment horizontal="center" vertical="center"/>
    </xf>
    <xf numFmtId="164" fontId="1" fillId="8" borderId="9" xfId="0" applyNumberFormat="1" applyFont="1" applyFill="1" applyBorder="1" applyAlignment="1">
      <alignment horizontal="center" vertical="center"/>
    </xf>
    <xf numFmtId="165" fontId="4" fillId="8" borderId="9" xfId="0" applyNumberFormat="1" applyFont="1" applyFill="1" applyBorder="1" applyAlignment="1">
      <alignment horizontal="center" vertical="center"/>
    </xf>
    <xf numFmtId="164" fontId="4" fillId="8" borderId="9" xfId="0" applyNumberFormat="1" applyFont="1" applyFill="1" applyBorder="1" applyAlignment="1">
      <alignment horizontal="center" vertical="center" wrapText="1"/>
    </xf>
    <xf numFmtId="164" fontId="4" fillId="8" borderId="9" xfId="0" applyNumberFormat="1" applyFont="1" applyFill="1" applyBorder="1" applyAlignment="1">
      <alignment horizontal="center" vertical="center"/>
    </xf>
    <xf numFmtId="49" fontId="4" fillId="8" borderId="9" xfId="0" applyNumberFormat="1" applyFont="1" applyFill="1" applyBorder="1" applyAlignment="1">
      <alignment horizontal="center" vertical="center" wrapText="1"/>
    </xf>
    <xf numFmtId="164" fontId="1" fillId="9" borderId="9" xfId="0" applyNumberFormat="1" applyFont="1" applyFill="1" applyBorder="1" applyAlignment="1">
      <alignment horizontal="center" vertical="center" wrapText="1"/>
    </xf>
    <xf numFmtId="14" fontId="5" fillId="10" borderId="9" xfId="0" applyNumberFormat="1" applyFont="1" applyFill="1" applyBorder="1" applyAlignment="1">
      <alignment horizontal="center" vertical="center" wrapText="1"/>
    </xf>
    <xf numFmtId="0" fontId="4" fillId="11" borderId="0" xfId="0" applyFont="1" applyFill="1" applyAlignment="1">
      <alignment vertical="center"/>
    </xf>
    <xf numFmtId="0" fontId="4" fillId="11" borderId="13" xfId="0" applyFont="1" applyFill="1" applyBorder="1" applyAlignment="1">
      <alignment vertical="center"/>
    </xf>
    <xf numFmtId="0" fontId="4" fillId="11" borderId="15" xfId="0" applyFont="1" applyFill="1" applyBorder="1" applyAlignment="1">
      <alignment vertical="center"/>
    </xf>
    <xf numFmtId="9" fontId="14" fillId="12" borderId="9" xfId="0" applyNumberFormat="1" applyFont="1" applyFill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right" vertical="center" wrapText="1"/>
    </xf>
    <xf numFmtId="0" fontId="3" fillId="0" borderId="2" xfId="0" applyFont="1" applyBorder="1"/>
    <xf numFmtId="0" fontId="3" fillId="0" borderId="3" xfId="0" applyFont="1" applyBorder="1"/>
    <xf numFmtId="0" fontId="4" fillId="0" borderId="1" xfId="0" applyFont="1" applyBorder="1" applyAlignment="1">
      <alignment horizontal="right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right" vertical="center" wrapText="1"/>
    </xf>
    <xf numFmtId="0" fontId="3" fillId="0" borderId="7" xfId="0" applyFont="1" applyBorder="1"/>
    <xf numFmtId="0" fontId="3" fillId="0" borderId="8" xfId="0" applyFont="1" applyBorder="1"/>
    <xf numFmtId="14" fontId="4" fillId="11" borderId="18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books.google.es/books?id=fCRCAgAAQBAJ&amp;pg=SL5-PA21&amp;lpg=SL5-PA21&amp;dq=e7+part-time+members&amp;source=bl&amp;ots=axt2kcgaRB&amp;sig=oTuGqYOrGRKLHV8dIJGh1OuVAS0&amp;hl=es&amp;sa=X&amp;ved=0ahUKEwj187-GzYvTAhWGj5AKHYP_AqcQ6AEIODAE" TargetMode="External"/><Relationship Id="rId1" Type="http://schemas.openxmlformats.org/officeDocument/2006/relationships/hyperlink" Target="https://books.google.es/books?id=fCRCAgAAQBAJ&amp;pg=SL5-PA21&amp;lpg=SL5-PA21&amp;dq=e7+part-time+members&amp;source=bl&amp;ots=axt2kcgaRB&amp;sig=oTuGqYOrGRKLHV8dIJGh1OuVAS0&amp;hl=es&amp;sa=X&amp;ved=0ahUKEwj187-GzYvTAhWGj5AKHYP_AqcQ6AEIODAE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7"/>
  <sheetViews>
    <sheetView tabSelected="1" topLeftCell="A8" zoomScale="70" zoomScaleNormal="70" workbookViewId="0">
      <selection activeCell="F18" sqref="F18"/>
    </sheetView>
  </sheetViews>
  <sheetFormatPr baseColWidth="10" defaultColWidth="12.5703125" defaultRowHeight="15" customHeight="1" x14ac:dyDescent="0.2"/>
  <cols>
    <col min="1" max="1" width="27.7109375" customWidth="1"/>
    <col min="2" max="2" width="32.140625" customWidth="1"/>
    <col min="3" max="3" width="35.42578125" customWidth="1"/>
    <col min="4" max="4" width="38.5703125" customWidth="1"/>
    <col min="5" max="5" width="13.5703125" customWidth="1"/>
    <col min="6" max="6" width="16.140625" customWidth="1"/>
    <col min="7" max="7" width="16.7109375" customWidth="1"/>
    <col min="8" max="8" width="34.42578125" customWidth="1"/>
    <col min="9" max="9" width="10.5703125" customWidth="1"/>
    <col min="10" max="10" width="13.7109375" customWidth="1"/>
    <col min="11" max="26" width="9.140625" customWidth="1"/>
  </cols>
  <sheetData>
    <row r="1" spans="1:26" ht="27.75" customHeight="1" x14ac:dyDescent="0.2">
      <c r="A1" s="1"/>
      <c r="B1" s="1"/>
      <c r="C1" s="1"/>
      <c r="D1" s="2"/>
      <c r="E1" s="3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7.75" customHeight="1" x14ac:dyDescent="0.2">
      <c r="A2" s="4"/>
      <c r="B2" s="86" t="s">
        <v>0</v>
      </c>
      <c r="C2" s="82"/>
      <c r="D2" s="82"/>
      <c r="E2" s="82"/>
      <c r="F2" s="82"/>
      <c r="G2" s="83"/>
      <c r="H2" s="5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27.75" customHeight="1" x14ac:dyDescent="0.2">
      <c r="A3" s="4"/>
      <c r="B3" s="61" t="s">
        <v>1</v>
      </c>
      <c r="C3" s="77" t="s">
        <v>110</v>
      </c>
      <c r="D3" s="6"/>
      <c r="E3" s="6"/>
      <c r="F3" s="6"/>
      <c r="G3" s="7"/>
      <c r="H3" s="6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27.75" customHeight="1" x14ac:dyDescent="0.2">
      <c r="A4" s="4"/>
      <c r="B4" s="61" t="s">
        <v>2</v>
      </c>
      <c r="C4" s="78" t="s">
        <v>111</v>
      </c>
      <c r="D4" s="62"/>
      <c r="E4" s="62"/>
      <c r="F4" s="62"/>
      <c r="G4" s="7"/>
      <c r="H4" s="6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27.75" customHeight="1" x14ac:dyDescent="0.2">
      <c r="A5" s="4"/>
      <c r="B5" s="63" t="s">
        <v>108</v>
      </c>
      <c r="C5" s="79" t="s">
        <v>112</v>
      </c>
      <c r="D5" s="64"/>
      <c r="E5" s="64"/>
      <c r="F5" s="64"/>
      <c r="G5" s="65"/>
      <c r="H5" s="6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27.75" customHeight="1" x14ac:dyDescent="0.2">
      <c r="A6" s="4"/>
      <c r="B6" s="66" t="s">
        <v>109</v>
      </c>
      <c r="C6" s="90">
        <v>46281</v>
      </c>
      <c r="D6" s="67"/>
      <c r="E6" s="67"/>
      <c r="F6" s="67"/>
      <c r="G6" s="68"/>
      <c r="H6" s="6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27.75" customHeight="1" x14ac:dyDescent="0.2">
      <c r="A7" s="1"/>
      <c r="B7" s="8"/>
      <c r="C7" s="1"/>
      <c r="D7" s="9"/>
      <c r="E7" s="9"/>
      <c r="F7" s="9"/>
      <c r="G7" s="9"/>
      <c r="H7" s="9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7.75" customHeight="1" x14ac:dyDescent="0.2">
      <c r="A8" s="1"/>
      <c r="B8" s="1"/>
      <c r="C8" s="1"/>
      <c r="D8" s="2"/>
      <c r="E8" s="3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">
      <c r="A9" s="10" t="s">
        <v>3</v>
      </c>
      <c r="B9" s="11" t="s">
        <v>4</v>
      </c>
      <c r="C9" s="12" t="s">
        <v>5</v>
      </c>
      <c r="D9" s="12" t="s">
        <v>6</v>
      </c>
      <c r="E9" s="11" t="s">
        <v>7</v>
      </c>
      <c r="F9" s="11" t="s">
        <v>8</v>
      </c>
      <c r="G9" s="11" t="s">
        <v>9</v>
      </c>
      <c r="H9" s="9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27.75" customHeight="1" x14ac:dyDescent="0.2">
      <c r="A10" s="1"/>
      <c r="B10" s="13" t="s">
        <v>115</v>
      </c>
      <c r="C10" s="14" t="s">
        <v>10</v>
      </c>
      <c r="D10" s="15" t="s">
        <v>116</v>
      </c>
      <c r="E10" s="16">
        <f t="shared" ref="E10:E12" si="0">IF(C10="Simple",1,IF(C10="Intermedio",2,IF(C10="Complejo",3,"error")))</f>
        <v>3</v>
      </c>
      <c r="F10" s="17">
        <v>1</v>
      </c>
      <c r="G10" s="16">
        <f t="shared" ref="G10:G12" si="1">E10*F10</f>
        <v>3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7.75" customHeight="1" x14ac:dyDescent="0.2">
      <c r="A11" s="1"/>
      <c r="B11" s="13" t="s">
        <v>114</v>
      </c>
      <c r="C11" s="14" t="s">
        <v>11</v>
      </c>
      <c r="D11" s="15" t="s">
        <v>117</v>
      </c>
      <c r="E11" s="16">
        <f t="shared" si="0"/>
        <v>2</v>
      </c>
      <c r="F11" s="17">
        <v>1</v>
      </c>
      <c r="G11" s="16">
        <f t="shared" si="1"/>
        <v>2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7.75" customHeight="1" x14ac:dyDescent="0.2">
      <c r="A12" s="1"/>
      <c r="B12" s="13" t="s">
        <v>113</v>
      </c>
      <c r="C12" s="14" t="s">
        <v>12</v>
      </c>
      <c r="D12" s="15" t="s">
        <v>118</v>
      </c>
      <c r="E12" s="16">
        <f t="shared" si="0"/>
        <v>1</v>
      </c>
      <c r="F12" s="17">
        <v>1</v>
      </c>
      <c r="G12" s="16">
        <f t="shared" si="1"/>
        <v>1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7.75" customHeight="1" x14ac:dyDescent="0.2">
      <c r="A13" s="1"/>
      <c r="B13" s="18"/>
      <c r="C13" s="81" t="s">
        <v>13</v>
      </c>
      <c r="D13" s="82"/>
      <c r="E13" s="82"/>
      <c r="F13" s="83"/>
      <c r="G13" s="20">
        <f>SUM(G10:G12)</f>
        <v>6</v>
      </c>
      <c r="H13" s="10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7.75" customHeight="1" x14ac:dyDescent="0.2">
      <c r="A14" s="1"/>
      <c r="B14" s="10"/>
      <c r="C14" s="21"/>
      <c r="D14" s="3"/>
      <c r="E14" s="3"/>
      <c r="F14" s="3"/>
      <c r="G14" s="22"/>
      <c r="H14" s="10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7.75" customHeight="1" x14ac:dyDescent="0.2">
      <c r="A15" s="1"/>
      <c r="B15" s="10"/>
      <c r="C15" s="23"/>
      <c r="D15" s="23"/>
      <c r="E15" s="24"/>
      <c r="F15" s="10"/>
      <c r="G15" s="10"/>
      <c r="H15" s="10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7.75" customHeight="1" x14ac:dyDescent="0.2">
      <c r="A16" s="10" t="s">
        <v>14</v>
      </c>
      <c r="B16" s="11" t="s">
        <v>15</v>
      </c>
      <c r="C16" s="11" t="s">
        <v>16</v>
      </c>
      <c r="D16" s="12" t="s">
        <v>17</v>
      </c>
      <c r="E16" s="12" t="s">
        <v>18</v>
      </c>
      <c r="F16" s="11" t="s">
        <v>7</v>
      </c>
      <c r="G16" s="9"/>
      <c r="H16" s="9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25"/>
      <c r="U16" s="1"/>
      <c r="V16" s="1"/>
      <c r="W16" s="1"/>
      <c r="X16" s="1"/>
      <c r="Y16" s="1"/>
      <c r="Z16" s="1"/>
    </row>
    <row r="17" spans="1:26" ht="27.75" customHeight="1" x14ac:dyDescent="0.2">
      <c r="A17" s="1"/>
      <c r="B17" s="13" t="s">
        <v>19</v>
      </c>
      <c r="C17" s="13" t="s">
        <v>20</v>
      </c>
      <c r="D17" s="26">
        <v>2</v>
      </c>
      <c r="E17" s="16" t="str">
        <f t="shared" ref="E17:E22" si="2">IF($D17&gt;0,IF($D17&lt;=3,"Simple",IF(AND($D17&gt;3,$D17&lt;7),"Intermedio",IF($D17&gt;=7,"Complejo","error"))),"-")</f>
        <v>Simple</v>
      </c>
      <c r="F17" s="16">
        <f t="shared" ref="F17:F22" si="3">IF($D17&gt;0,IF($D17&lt;=3,5,IF(AND($D17&gt;3,$D17&lt;7),10,IF($D17&gt;=7,15,"error"))),0)</f>
        <v>5</v>
      </c>
      <c r="G17" s="1"/>
      <c r="H17" s="1"/>
      <c r="I17" s="1"/>
      <c r="J17" s="1"/>
      <c r="K17" s="25"/>
      <c r="L17" s="1"/>
      <c r="M17" s="1"/>
      <c r="N17" s="1"/>
      <c r="O17" s="1"/>
      <c r="P17" s="1"/>
      <c r="Q17" s="1"/>
      <c r="R17" s="1"/>
      <c r="S17" s="1"/>
      <c r="T17" s="25"/>
      <c r="U17" s="1"/>
      <c r="V17" s="1"/>
      <c r="W17" s="1"/>
      <c r="X17" s="1"/>
      <c r="Y17" s="1"/>
      <c r="Z17" s="1"/>
    </row>
    <row r="18" spans="1:26" ht="27.75" customHeight="1" x14ac:dyDescent="0.2">
      <c r="A18" s="1"/>
      <c r="B18" s="13" t="s">
        <v>21</v>
      </c>
      <c r="C18" s="13" t="s">
        <v>22</v>
      </c>
      <c r="D18" s="26">
        <v>4</v>
      </c>
      <c r="E18" s="16" t="str">
        <f t="shared" si="2"/>
        <v>Intermedio</v>
      </c>
      <c r="F18" s="16">
        <f t="shared" si="3"/>
        <v>10</v>
      </c>
      <c r="G18" s="1"/>
      <c r="H18" s="1"/>
      <c r="I18" s="1"/>
      <c r="J18" s="1"/>
      <c r="K18" s="25"/>
      <c r="L18" s="1"/>
      <c r="M18" s="1"/>
      <c r="N18" s="1"/>
      <c r="O18" s="1"/>
      <c r="P18" s="1"/>
      <c r="Q18" s="1"/>
      <c r="R18" s="1"/>
      <c r="S18" s="1"/>
      <c r="T18" s="25"/>
      <c r="U18" s="1"/>
      <c r="V18" s="1"/>
      <c r="W18" s="1"/>
      <c r="X18" s="1"/>
      <c r="Y18" s="1"/>
      <c r="Z18" s="1"/>
    </row>
    <row r="19" spans="1:26" ht="27.75" customHeight="1" x14ac:dyDescent="0.2">
      <c r="A19" s="1"/>
      <c r="B19" s="13" t="s">
        <v>23</v>
      </c>
      <c r="C19" s="13"/>
      <c r="D19" s="26"/>
      <c r="E19" s="16" t="str">
        <f t="shared" si="2"/>
        <v>-</v>
      </c>
      <c r="F19" s="16">
        <f t="shared" si="3"/>
        <v>0</v>
      </c>
      <c r="G19" s="1"/>
      <c r="H19" s="1"/>
      <c r="I19" s="1"/>
      <c r="J19" s="1"/>
      <c r="K19" s="25"/>
      <c r="L19" s="1"/>
      <c r="M19" s="1"/>
      <c r="N19" s="1"/>
      <c r="O19" s="1"/>
      <c r="P19" s="1"/>
      <c r="Q19" s="1"/>
      <c r="R19" s="1"/>
      <c r="S19" s="1"/>
      <c r="T19" s="25"/>
      <c r="U19" s="1"/>
      <c r="V19" s="1"/>
      <c r="W19" s="1"/>
      <c r="X19" s="1"/>
      <c r="Y19" s="1"/>
      <c r="Z19" s="1"/>
    </row>
    <row r="20" spans="1:26" ht="27.75" customHeight="1" x14ac:dyDescent="0.2">
      <c r="A20" s="1"/>
      <c r="B20" s="13" t="s">
        <v>24</v>
      </c>
      <c r="C20" s="27"/>
      <c r="D20" s="28"/>
      <c r="E20" s="16" t="str">
        <f t="shared" si="2"/>
        <v>-</v>
      </c>
      <c r="F20" s="16">
        <f t="shared" si="3"/>
        <v>0</v>
      </c>
      <c r="G20" s="1"/>
      <c r="H20" s="1"/>
      <c r="I20" s="1"/>
      <c r="J20" s="1"/>
      <c r="K20" s="25"/>
      <c r="L20" s="1"/>
      <c r="M20" s="1"/>
      <c r="N20" s="1"/>
      <c r="O20" s="1"/>
      <c r="P20" s="1"/>
      <c r="Q20" s="1"/>
      <c r="R20" s="1"/>
      <c r="S20" s="1"/>
      <c r="T20" s="25"/>
      <c r="U20" s="1"/>
      <c r="V20" s="1"/>
      <c r="W20" s="1"/>
      <c r="X20" s="1"/>
      <c r="Y20" s="1"/>
      <c r="Z20" s="1"/>
    </row>
    <row r="21" spans="1:26" ht="27.75" customHeight="1" x14ac:dyDescent="0.2">
      <c r="A21" s="1"/>
      <c r="B21" s="13" t="s">
        <v>25</v>
      </c>
      <c r="C21" s="27"/>
      <c r="D21" s="28"/>
      <c r="E21" s="16" t="str">
        <f t="shared" si="2"/>
        <v>-</v>
      </c>
      <c r="F21" s="16">
        <f t="shared" si="3"/>
        <v>0</v>
      </c>
      <c r="G21" s="1"/>
      <c r="H21" s="1"/>
      <c r="I21" s="1"/>
      <c r="J21" s="1"/>
      <c r="K21" s="25"/>
      <c r="L21" s="1"/>
      <c r="M21" s="1"/>
      <c r="N21" s="1"/>
      <c r="O21" s="1"/>
      <c r="P21" s="1"/>
      <c r="Q21" s="1"/>
      <c r="R21" s="1"/>
      <c r="S21" s="1"/>
      <c r="T21" s="25"/>
      <c r="U21" s="1"/>
      <c r="V21" s="1"/>
      <c r="W21" s="1"/>
      <c r="X21" s="1"/>
      <c r="Y21" s="1"/>
      <c r="Z21" s="1"/>
    </row>
    <row r="22" spans="1:26" ht="27.75" customHeight="1" x14ac:dyDescent="0.2">
      <c r="A22" s="1"/>
      <c r="B22" s="13" t="s">
        <v>26</v>
      </c>
      <c r="C22" s="27"/>
      <c r="D22" s="28"/>
      <c r="E22" s="16" t="str">
        <f t="shared" si="2"/>
        <v>-</v>
      </c>
      <c r="F22" s="16">
        <f t="shared" si="3"/>
        <v>0</v>
      </c>
      <c r="G22" s="1"/>
      <c r="H22" s="1"/>
      <c r="I22" s="1"/>
      <c r="J22" s="1"/>
      <c r="K22" s="25"/>
      <c r="L22" s="1"/>
      <c r="M22" s="1"/>
      <c r="N22" s="1"/>
      <c r="O22" s="1"/>
      <c r="P22" s="1"/>
      <c r="Q22" s="1"/>
      <c r="R22" s="1"/>
      <c r="S22" s="1"/>
      <c r="T22" s="25"/>
      <c r="U22" s="1"/>
      <c r="V22" s="1"/>
      <c r="W22" s="1"/>
      <c r="X22" s="1"/>
      <c r="Y22" s="1"/>
      <c r="Z22" s="1"/>
    </row>
    <row r="23" spans="1:26" ht="27.75" customHeight="1" x14ac:dyDescent="0.2">
      <c r="A23" s="1"/>
      <c r="B23" s="29"/>
      <c r="C23" s="87" t="s">
        <v>27</v>
      </c>
      <c r="D23" s="88"/>
      <c r="E23" s="89"/>
      <c r="F23" s="30">
        <f>SUM(F17:F22)</f>
        <v>15</v>
      </c>
      <c r="G23" s="1"/>
      <c r="H23" s="10"/>
      <c r="I23" s="1"/>
      <c r="J23" s="1"/>
      <c r="K23" s="25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7.75" customHeight="1" x14ac:dyDescent="0.2">
      <c r="A24" s="1"/>
      <c r="B24" s="1"/>
      <c r="C24" s="1"/>
      <c r="D24" s="2"/>
      <c r="E24" s="3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7.75" customHeight="1" x14ac:dyDescent="0.2">
      <c r="A25" s="1"/>
      <c r="B25" s="1"/>
      <c r="C25" s="1"/>
      <c r="D25" s="2"/>
      <c r="E25" s="3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7.75" customHeight="1" x14ac:dyDescent="0.2">
      <c r="A26" s="10" t="s">
        <v>28</v>
      </c>
      <c r="B26" s="31"/>
      <c r="C26" s="81" t="s">
        <v>29</v>
      </c>
      <c r="D26" s="82"/>
      <c r="E26" s="83"/>
      <c r="F26" s="20">
        <f>G13+F23</f>
        <v>21</v>
      </c>
      <c r="G26" s="1"/>
      <c r="H26" s="10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7.75" customHeight="1" x14ac:dyDescent="0.2">
      <c r="A27" s="1"/>
      <c r="B27" s="1"/>
      <c r="C27" s="1"/>
      <c r="D27" s="2"/>
      <c r="E27" s="3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7.75" customHeight="1" x14ac:dyDescent="0.2">
      <c r="A28" s="1"/>
      <c r="B28" s="3"/>
      <c r="C28" s="1"/>
      <c r="D28" s="2"/>
      <c r="E28" s="3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7.75" customHeight="1" x14ac:dyDescent="0.2">
      <c r="A29" s="10" t="s">
        <v>30</v>
      </c>
      <c r="B29" s="12" t="s">
        <v>31</v>
      </c>
      <c r="C29" s="12" t="s">
        <v>32</v>
      </c>
      <c r="D29" s="11" t="s">
        <v>33</v>
      </c>
      <c r="E29" s="11" t="s">
        <v>7</v>
      </c>
      <c r="F29" s="11" t="s">
        <v>34</v>
      </c>
      <c r="G29" s="11" t="s">
        <v>35</v>
      </c>
      <c r="H29" s="1" t="s">
        <v>36</v>
      </c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27.75" customHeight="1" x14ac:dyDescent="0.2">
      <c r="A30" s="1"/>
      <c r="B30" s="32" t="s">
        <v>37</v>
      </c>
      <c r="C30" s="32" t="s">
        <v>38</v>
      </c>
      <c r="D30" s="33" t="s">
        <v>39</v>
      </c>
      <c r="E30" s="34">
        <v>2</v>
      </c>
      <c r="F30" s="17">
        <v>3</v>
      </c>
      <c r="G30" s="35">
        <f t="shared" ref="G30:G42" si="4">E30*F30</f>
        <v>6</v>
      </c>
      <c r="H30" s="36" t="s">
        <v>40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"/>
      <c r="B31" s="32" t="s">
        <v>41</v>
      </c>
      <c r="C31" s="32" t="s">
        <v>38</v>
      </c>
      <c r="D31" s="33" t="s">
        <v>39</v>
      </c>
      <c r="E31" s="35">
        <v>2</v>
      </c>
      <c r="F31" s="17">
        <v>3</v>
      </c>
      <c r="G31" s="35">
        <f t="shared" si="4"/>
        <v>6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7.75" customHeight="1" x14ac:dyDescent="0.2">
      <c r="A32" s="1"/>
      <c r="B32" s="32" t="s">
        <v>42</v>
      </c>
      <c r="C32" s="32" t="s">
        <v>38</v>
      </c>
      <c r="D32" s="33" t="s">
        <v>39</v>
      </c>
      <c r="E32" s="35">
        <v>1</v>
      </c>
      <c r="F32" s="17">
        <v>3</v>
      </c>
      <c r="G32" s="35">
        <f t="shared" si="4"/>
        <v>3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"/>
      <c r="B33" s="32" t="s">
        <v>43</v>
      </c>
      <c r="C33" s="32" t="s">
        <v>38</v>
      </c>
      <c r="D33" s="33" t="s">
        <v>39</v>
      </c>
      <c r="E33" s="35">
        <v>1</v>
      </c>
      <c r="F33" s="17">
        <v>3</v>
      </c>
      <c r="G33" s="35">
        <f t="shared" si="4"/>
        <v>3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7.75" customHeight="1" x14ac:dyDescent="0.2">
      <c r="A34" s="1"/>
      <c r="B34" s="32" t="s">
        <v>44</v>
      </c>
      <c r="C34" s="32" t="s">
        <v>38</v>
      </c>
      <c r="D34" s="33" t="s">
        <v>39</v>
      </c>
      <c r="E34" s="34">
        <v>1</v>
      </c>
      <c r="F34" s="17">
        <v>3</v>
      </c>
      <c r="G34" s="35">
        <f t="shared" si="4"/>
        <v>3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7.75" customHeight="1" x14ac:dyDescent="0.2">
      <c r="A35" s="1"/>
      <c r="B35" s="32" t="s">
        <v>45</v>
      </c>
      <c r="C35" s="32" t="s">
        <v>38</v>
      </c>
      <c r="D35" s="33" t="s">
        <v>39</v>
      </c>
      <c r="E35" s="34">
        <v>0.5</v>
      </c>
      <c r="F35" s="17">
        <v>3</v>
      </c>
      <c r="G35" s="35">
        <f t="shared" si="4"/>
        <v>1.5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7.75" customHeight="1" x14ac:dyDescent="0.2">
      <c r="A36" s="1"/>
      <c r="B36" s="32" t="s">
        <v>46</v>
      </c>
      <c r="C36" s="32" t="s">
        <v>38</v>
      </c>
      <c r="D36" s="33" t="s">
        <v>39</v>
      </c>
      <c r="E36" s="34">
        <v>0.5</v>
      </c>
      <c r="F36" s="17">
        <v>3</v>
      </c>
      <c r="G36" s="35">
        <f t="shared" si="4"/>
        <v>1.5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7.75" customHeight="1" x14ac:dyDescent="0.2">
      <c r="A37" s="1"/>
      <c r="B37" s="32" t="s">
        <v>47</v>
      </c>
      <c r="C37" s="32" t="s">
        <v>38</v>
      </c>
      <c r="D37" s="33" t="s">
        <v>39</v>
      </c>
      <c r="E37" s="34">
        <v>2</v>
      </c>
      <c r="F37" s="17">
        <v>3</v>
      </c>
      <c r="G37" s="35">
        <f t="shared" si="4"/>
        <v>6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7.75" customHeight="1" x14ac:dyDescent="0.2">
      <c r="A38" s="1"/>
      <c r="B38" s="32" t="s">
        <v>48</v>
      </c>
      <c r="C38" s="32" t="s">
        <v>38</v>
      </c>
      <c r="D38" s="33" t="s">
        <v>39</v>
      </c>
      <c r="E38" s="34">
        <v>1</v>
      </c>
      <c r="F38" s="17">
        <v>3</v>
      </c>
      <c r="G38" s="35">
        <f t="shared" si="4"/>
        <v>3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7.75" customHeight="1" x14ac:dyDescent="0.2">
      <c r="A39" s="1"/>
      <c r="B39" s="32" t="s">
        <v>49</v>
      </c>
      <c r="C39" s="32" t="s">
        <v>38</v>
      </c>
      <c r="D39" s="33" t="s">
        <v>39</v>
      </c>
      <c r="E39" s="34">
        <v>1</v>
      </c>
      <c r="F39" s="17">
        <v>3</v>
      </c>
      <c r="G39" s="35">
        <f t="shared" si="4"/>
        <v>3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/>
      <c r="B40" s="32" t="s">
        <v>50</v>
      </c>
      <c r="C40" s="32" t="s">
        <v>38</v>
      </c>
      <c r="D40" s="33" t="s">
        <v>39</v>
      </c>
      <c r="E40" s="35">
        <v>1</v>
      </c>
      <c r="F40" s="17">
        <v>3</v>
      </c>
      <c r="G40" s="35">
        <f t="shared" si="4"/>
        <v>3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/>
      <c r="B41" s="32" t="s">
        <v>51</v>
      </c>
      <c r="C41" s="32" t="s">
        <v>38</v>
      </c>
      <c r="D41" s="33" t="s">
        <v>39</v>
      </c>
      <c r="E41" s="35">
        <v>1</v>
      </c>
      <c r="F41" s="17">
        <v>3</v>
      </c>
      <c r="G41" s="35">
        <f t="shared" si="4"/>
        <v>3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/>
      <c r="B42" s="32" t="s">
        <v>52</v>
      </c>
      <c r="C42" s="32" t="s">
        <v>38</v>
      </c>
      <c r="D42" s="33" t="s">
        <v>39</v>
      </c>
      <c r="E42" s="34">
        <v>1</v>
      </c>
      <c r="F42" s="17">
        <v>3</v>
      </c>
      <c r="G42" s="35">
        <f t="shared" si="4"/>
        <v>3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7.75" customHeight="1" x14ac:dyDescent="0.2">
      <c r="A43" s="1"/>
      <c r="B43" s="81" t="s">
        <v>53</v>
      </c>
      <c r="C43" s="82"/>
      <c r="D43" s="82"/>
      <c r="E43" s="82"/>
      <c r="F43" s="83"/>
      <c r="G43" s="37">
        <f>SUM(G30:G42)</f>
        <v>45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7.75" customHeight="1" x14ac:dyDescent="0.2">
      <c r="A44" s="1"/>
      <c r="B44" s="81" t="s">
        <v>54</v>
      </c>
      <c r="C44" s="82"/>
      <c r="D44" s="82"/>
      <c r="E44" s="82"/>
      <c r="F44" s="83"/>
      <c r="G44" s="30">
        <f>0.6+(0.01*G43)</f>
        <v>1.05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7.75" customHeight="1" x14ac:dyDescent="0.2">
      <c r="A45" s="1"/>
      <c r="B45" s="21"/>
      <c r="C45" s="3"/>
      <c r="D45" s="3"/>
      <c r="E45" s="3"/>
      <c r="F45" s="3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7.75" customHeight="1" x14ac:dyDescent="0.2">
      <c r="A46" s="1"/>
      <c r="B46" s="38"/>
      <c r="C46" s="38"/>
      <c r="D46" s="39"/>
      <c r="E46" s="38"/>
      <c r="F46" s="38"/>
      <c r="G46" s="38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0" t="s">
        <v>55</v>
      </c>
      <c r="B47" s="12" t="s">
        <v>56</v>
      </c>
      <c r="C47" s="12" t="s">
        <v>57</v>
      </c>
      <c r="D47" s="11" t="s">
        <v>58</v>
      </c>
      <c r="E47" s="11" t="s">
        <v>7</v>
      </c>
      <c r="F47" s="11" t="s">
        <v>34</v>
      </c>
      <c r="G47" s="11" t="s">
        <v>35</v>
      </c>
      <c r="H47" s="1" t="s">
        <v>59</v>
      </c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15.75" customHeight="1" x14ac:dyDescent="0.2">
      <c r="A48" s="1"/>
      <c r="B48" s="40" t="s">
        <v>60</v>
      </c>
      <c r="C48" s="32" t="s">
        <v>61</v>
      </c>
      <c r="D48" s="33" t="s">
        <v>39</v>
      </c>
      <c r="E48" s="34">
        <v>1.5</v>
      </c>
      <c r="F48" s="17">
        <v>3</v>
      </c>
      <c r="G48" s="35">
        <f t="shared" ref="G48:G55" si="5">E48*F48</f>
        <v>4.5</v>
      </c>
      <c r="H48" s="36" t="s">
        <v>40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/>
      <c r="B49" s="40" t="s">
        <v>62</v>
      </c>
      <c r="C49" s="32" t="s">
        <v>61</v>
      </c>
      <c r="D49" s="33" t="s">
        <v>39</v>
      </c>
      <c r="E49" s="34">
        <v>0.5</v>
      </c>
      <c r="F49" s="17">
        <v>3</v>
      </c>
      <c r="G49" s="35">
        <f t="shared" si="5"/>
        <v>1.5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/>
      <c r="B50" s="40" t="s">
        <v>63</v>
      </c>
      <c r="C50" s="32" t="s">
        <v>61</v>
      </c>
      <c r="D50" s="33" t="s">
        <v>39</v>
      </c>
      <c r="E50" s="34">
        <v>1</v>
      </c>
      <c r="F50" s="17">
        <v>3</v>
      </c>
      <c r="G50" s="35">
        <f t="shared" si="5"/>
        <v>3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/>
      <c r="B51" s="40" t="s">
        <v>64</v>
      </c>
      <c r="C51" s="32" t="s">
        <v>61</v>
      </c>
      <c r="D51" s="33" t="s">
        <v>39</v>
      </c>
      <c r="E51" s="34">
        <v>0.5</v>
      </c>
      <c r="F51" s="17">
        <v>3</v>
      </c>
      <c r="G51" s="35">
        <f t="shared" si="5"/>
        <v>1.5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7.75" customHeight="1" x14ac:dyDescent="0.2">
      <c r="A52" s="1"/>
      <c r="B52" s="40" t="s">
        <v>65</v>
      </c>
      <c r="C52" s="32" t="s">
        <v>66</v>
      </c>
      <c r="D52" s="33" t="s">
        <v>39</v>
      </c>
      <c r="E52" s="34">
        <v>1</v>
      </c>
      <c r="F52" s="17">
        <v>3</v>
      </c>
      <c r="G52" s="35">
        <f t="shared" si="5"/>
        <v>3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/>
      <c r="B53" s="40" t="s">
        <v>67</v>
      </c>
      <c r="C53" s="32" t="s">
        <v>68</v>
      </c>
      <c r="D53" s="33" t="s">
        <v>39</v>
      </c>
      <c r="E53" s="34">
        <v>2</v>
      </c>
      <c r="F53" s="17">
        <v>3</v>
      </c>
      <c r="G53" s="35">
        <f t="shared" si="5"/>
        <v>6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/>
      <c r="B54" s="40" t="s">
        <v>69</v>
      </c>
      <c r="C54" s="32" t="s">
        <v>70</v>
      </c>
      <c r="D54" s="33" t="s">
        <v>39</v>
      </c>
      <c r="E54" s="34">
        <v>-1</v>
      </c>
      <c r="F54" s="17">
        <v>3</v>
      </c>
      <c r="G54" s="35">
        <f t="shared" si="5"/>
        <v>-3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/>
      <c r="B55" s="40" t="s">
        <v>71</v>
      </c>
      <c r="C55" s="32" t="s">
        <v>72</v>
      </c>
      <c r="D55" s="33" t="s">
        <v>39</v>
      </c>
      <c r="E55" s="34">
        <v>-1</v>
      </c>
      <c r="F55" s="17">
        <v>3</v>
      </c>
      <c r="G55" s="35">
        <f t="shared" si="5"/>
        <v>-3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7.75" customHeight="1" x14ac:dyDescent="0.2">
      <c r="A56" s="1"/>
      <c r="B56" s="81" t="s">
        <v>73</v>
      </c>
      <c r="C56" s="82"/>
      <c r="D56" s="82"/>
      <c r="E56" s="82"/>
      <c r="F56" s="83"/>
      <c r="G56" s="11">
        <f>SUM(G48:G55)</f>
        <v>13.5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7.75" customHeight="1" x14ac:dyDescent="0.2">
      <c r="A57" s="1"/>
      <c r="B57" s="81" t="s">
        <v>74</v>
      </c>
      <c r="C57" s="82"/>
      <c r="D57" s="82"/>
      <c r="E57" s="82"/>
      <c r="F57" s="83"/>
      <c r="G57" s="11">
        <f>1.4 + (-0.03*G56)</f>
        <v>0.99499999999999988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7.75" customHeight="1" x14ac:dyDescent="0.2">
      <c r="A58" s="1"/>
      <c r="B58" s="19"/>
      <c r="C58" s="41"/>
      <c r="D58" s="42"/>
      <c r="E58" s="41"/>
      <c r="F58" s="43" t="s">
        <v>75</v>
      </c>
      <c r="G58" s="11">
        <f>COUNTIF($F$48:$F$53,"&lt;3")+COUNTIF($F$54:$F$55,"&gt;3")</f>
        <v>0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7.75" customHeight="1" x14ac:dyDescent="0.2">
      <c r="A59" s="1"/>
      <c r="B59" s="21"/>
      <c r="C59" s="3"/>
      <c r="D59" s="3"/>
      <c r="E59" s="3"/>
      <c r="F59" s="3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7.75" customHeight="1" x14ac:dyDescent="0.2">
      <c r="A60" s="1"/>
      <c r="B60" s="1"/>
      <c r="C60" s="1"/>
      <c r="D60" s="2"/>
      <c r="E60" s="3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7.75" customHeight="1" x14ac:dyDescent="0.2">
      <c r="A61" s="10" t="s">
        <v>76</v>
      </c>
      <c r="B61" s="84" t="s">
        <v>77</v>
      </c>
      <c r="C61" s="82"/>
      <c r="D61" s="82"/>
      <c r="E61" s="82"/>
      <c r="F61" s="83"/>
      <c r="G61" s="44">
        <f>F26*G44*G57</f>
        <v>21.939749999999997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7.75" customHeight="1" x14ac:dyDescent="0.2">
      <c r="A62" s="1"/>
      <c r="B62" s="1"/>
      <c r="C62" s="1"/>
      <c r="D62" s="2"/>
      <c r="E62" s="3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7.75" customHeight="1" x14ac:dyDescent="0.2">
      <c r="A63" s="1"/>
      <c r="B63" s="1"/>
      <c r="C63" s="1"/>
      <c r="D63" s="2"/>
      <c r="E63" s="3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45" t="s">
        <v>78</v>
      </c>
      <c r="B64" s="12" t="s">
        <v>79</v>
      </c>
      <c r="C64" s="12" t="s">
        <v>80</v>
      </c>
      <c r="D64" s="74" t="s">
        <v>81</v>
      </c>
      <c r="E64" s="3"/>
      <c r="F64" s="1"/>
      <c r="G64" s="12" t="s">
        <v>82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7.75" customHeight="1" x14ac:dyDescent="0.2">
      <c r="A65" s="1"/>
      <c r="B65" s="46">
        <v>20</v>
      </c>
      <c r="C65" s="46">
        <f>IF($G$58&gt;=5,36,IF(AND(G$58&gt;2,$G$58&lt;=4),28, IF(AND($G$58&gt;=0,$G$58&lt;=2),20,"error")))</f>
        <v>20</v>
      </c>
      <c r="D65" s="69">
        <f>IF($G$58&gt;=5,$G$65*(36/20),IF(AND($G$58&gt;2,$G$58&lt;=4),$G$65*(28/20), IF(AND($G$58&gt;=0,$G$58&lt;=2),$G$65,"error")))</f>
        <v>2.5</v>
      </c>
      <c r="E65" s="3"/>
      <c r="F65" s="1"/>
      <c r="G65" s="47">
        <v>2.5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7.75" customHeight="1" x14ac:dyDescent="0.2">
      <c r="A66" s="1"/>
      <c r="B66" s="85" t="s">
        <v>83</v>
      </c>
      <c r="C66" s="82"/>
      <c r="D66" s="83"/>
      <c r="E66" s="3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7.75" customHeight="1" x14ac:dyDescent="0.2">
      <c r="A67" s="48" t="s">
        <v>84</v>
      </c>
      <c r="B67" s="46">
        <f t="shared" ref="B67:D67" si="6">$G$61*B65</f>
        <v>438.79499999999996</v>
      </c>
      <c r="C67" s="46">
        <f t="shared" si="6"/>
        <v>438.79499999999996</v>
      </c>
      <c r="D67" s="70">
        <f t="shared" si="6"/>
        <v>54.849374999999995</v>
      </c>
      <c r="E67" s="3"/>
      <c r="F67" s="1"/>
      <c r="G67" s="12" t="s">
        <v>98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7.75" customHeight="1" x14ac:dyDescent="0.2">
      <c r="A68" s="48" t="s">
        <v>85</v>
      </c>
      <c r="B68" s="49">
        <f>B67/(22*G68)</f>
        <v>2.4931534090909087</v>
      </c>
      <c r="C68" s="49">
        <f>C67/(22*G68)</f>
        <v>2.4931534090909087</v>
      </c>
      <c r="D68" s="71">
        <f>D67/(22*G68)</f>
        <v>0.31164417613636358</v>
      </c>
      <c r="E68" s="3"/>
      <c r="F68" s="1"/>
      <c r="G68" s="47">
        <v>8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7.75" customHeight="1" x14ac:dyDescent="0.2">
      <c r="A69" s="1"/>
      <c r="B69" s="1"/>
      <c r="C69" s="1"/>
      <c r="D69" s="2"/>
      <c r="E69" s="3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7.75" customHeight="1" x14ac:dyDescent="0.2">
      <c r="A70" s="1"/>
      <c r="B70" s="1"/>
      <c r="C70" s="1"/>
      <c r="D70" s="2"/>
      <c r="E70" s="3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7.75" customHeight="1" x14ac:dyDescent="0.2">
      <c r="A71" s="10" t="s">
        <v>100</v>
      </c>
      <c r="B71" s="50" t="s">
        <v>102</v>
      </c>
      <c r="C71" s="51"/>
      <c r="D71" s="42"/>
      <c r="E71" s="41"/>
      <c r="F71" s="52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7.75" customHeight="1" x14ac:dyDescent="0.2">
      <c r="A72" s="1"/>
      <c r="B72" s="31" t="s">
        <v>86</v>
      </c>
      <c r="C72" s="11" t="s">
        <v>87</v>
      </c>
      <c r="D72" s="44" t="s">
        <v>103</v>
      </c>
      <c r="E72" s="44" t="s">
        <v>104</v>
      </c>
      <c r="F72" s="72" t="s">
        <v>105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7.75" customHeight="1" x14ac:dyDescent="0.2">
      <c r="A73" s="1"/>
      <c r="B73" s="53" t="s">
        <v>91</v>
      </c>
      <c r="C73" s="80">
        <v>0.4</v>
      </c>
      <c r="D73" s="49">
        <f>+B67</f>
        <v>438.79499999999996</v>
      </c>
      <c r="E73" s="49">
        <f>+C67</f>
        <v>438.79499999999996</v>
      </c>
      <c r="F73" s="73">
        <f>+D67</f>
        <v>54.849374999999995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7.75" customHeight="1" x14ac:dyDescent="0.2">
      <c r="A74" s="1"/>
      <c r="B74" s="53" t="s">
        <v>92</v>
      </c>
      <c r="C74" s="80">
        <f>1-C73</f>
        <v>0.6</v>
      </c>
      <c r="D74" s="46">
        <f>+D73*1.5</f>
        <v>658.19249999999988</v>
      </c>
      <c r="E74" s="46">
        <f t="shared" ref="E74:F74" si="7">+E73*1.5</f>
        <v>658.19249999999988</v>
      </c>
      <c r="F74" s="70">
        <f t="shared" si="7"/>
        <v>82.274062499999985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7.75" customHeight="1" x14ac:dyDescent="0.2">
      <c r="A75" s="1"/>
      <c r="B75" s="54"/>
      <c r="C75" s="80">
        <f>SUM(C73:C74)</f>
        <v>1</v>
      </c>
      <c r="D75" s="49">
        <f>+D73+D74</f>
        <v>1096.9874999999997</v>
      </c>
      <c r="E75" s="49">
        <f t="shared" ref="E75:F75" si="8">+E73+E74</f>
        <v>1096.9874999999997</v>
      </c>
      <c r="F75" s="73">
        <f t="shared" si="8"/>
        <v>137.12343749999997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7.75" customHeight="1" x14ac:dyDescent="0.2">
      <c r="A76" s="1"/>
      <c r="B76" s="1"/>
      <c r="C76" s="1"/>
      <c r="D76" s="1"/>
      <c r="E76" s="3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7.75" customHeight="1" x14ac:dyDescent="0.2">
      <c r="A77" s="10" t="s">
        <v>101</v>
      </c>
      <c r="B77" s="50" t="s">
        <v>99</v>
      </c>
      <c r="C77" s="51"/>
      <c r="D77" s="42"/>
      <c r="E77" s="41"/>
      <c r="F77" s="52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7.75" customHeight="1" x14ac:dyDescent="0.2">
      <c r="A78" s="1"/>
      <c r="B78" s="31" t="s">
        <v>86</v>
      </c>
      <c r="C78" s="11" t="s">
        <v>87</v>
      </c>
      <c r="D78" s="44" t="s">
        <v>88</v>
      </c>
      <c r="E78" s="44" t="s">
        <v>89</v>
      </c>
      <c r="F78" s="72" t="s">
        <v>90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7.75" customHeight="1" x14ac:dyDescent="0.2">
      <c r="A79" s="1"/>
      <c r="B79" s="53" t="s">
        <v>91</v>
      </c>
      <c r="C79" s="80">
        <v>0.4</v>
      </c>
      <c r="D79" s="49">
        <f t="shared" ref="D79:F81" si="9">$C79/$C$79*B$68</f>
        <v>2.4931534090909087</v>
      </c>
      <c r="E79" s="49">
        <f t="shared" si="9"/>
        <v>2.4931534090909087</v>
      </c>
      <c r="F79" s="73">
        <f t="shared" si="9"/>
        <v>0.31164417613636358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7.75" customHeight="1" x14ac:dyDescent="0.2">
      <c r="A80" s="1"/>
      <c r="B80" s="53" t="s">
        <v>92</v>
      </c>
      <c r="C80" s="80">
        <f>1-C79</f>
        <v>0.6</v>
      </c>
      <c r="D80" s="46">
        <f t="shared" si="9"/>
        <v>3.7397301136363623</v>
      </c>
      <c r="E80" s="46">
        <f t="shared" si="9"/>
        <v>3.7397301136363623</v>
      </c>
      <c r="F80" s="70">
        <f t="shared" si="9"/>
        <v>0.46746626420454529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7.75" customHeight="1" x14ac:dyDescent="0.2">
      <c r="A81" s="1"/>
      <c r="B81" s="54"/>
      <c r="C81" s="80">
        <f>SUM(C79:C80)</f>
        <v>1</v>
      </c>
      <c r="D81" s="49">
        <f t="shared" si="9"/>
        <v>6.2328835227272714</v>
      </c>
      <c r="E81" s="49">
        <f t="shared" si="9"/>
        <v>6.2328835227272714</v>
      </c>
      <c r="F81" s="73">
        <f t="shared" si="9"/>
        <v>0.77911044034090893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7.75" customHeight="1" x14ac:dyDescent="0.2">
      <c r="A82" s="1"/>
      <c r="B82" s="1"/>
      <c r="C82" s="1"/>
      <c r="D82" s="2"/>
      <c r="E82" s="3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7.75" customHeight="1" x14ac:dyDescent="0.2">
      <c r="A83" s="10" t="s">
        <v>93</v>
      </c>
      <c r="B83" s="17">
        <v>4</v>
      </c>
      <c r="C83" s="1"/>
      <c r="D83" s="2"/>
      <c r="E83" s="3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7.75" customHeight="1" x14ac:dyDescent="0.2">
      <c r="A84" s="1"/>
      <c r="B84" s="1"/>
      <c r="C84" s="1"/>
      <c r="D84" s="2"/>
      <c r="E84" s="3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7.75" customHeight="1" x14ac:dyDescent="0.2">
      <c r="A85" s="10" t="s">
        <v>94</v>
      </c>
      <c r="B85" s="44" t="s">
        <v>95</v>
      </c>
      <c r="C85" s="44" t="s">
        <v>96</v>
      </c>
      <c r="D85" s="72" t="s">
        <v>97</v>
      </c>
      <c r="E85" s="3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7.75" customHeight="1" x14ac:dyDescent="0.2">
      <c r="A86" s="55"/>
      <c r="B86" s="56">
        <f>$D$81/$B$83</f>
        <v>1.5582208806818179</v>
      </c>
      <c r="C86" s="56">
        <f>$E$81/$B$83</f>
        <v>1.5582208806818179</v>
      </c>
      <c r="D86" s="75">
        <f>$F$81/$B$83</f>
        <v>0.19477761008522723</v>
      </c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</row>
    <row r="87" spans="1:26" ht="15.75" customHeight="1" x14ac:dyDescent="0.2">
      <c r="A87" s="55"/>
      <c r="B87" s="55"/>
      <c r="C87" s="55"/>
      <c r="D87" s="55"/>
      <c r="E87" s="57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</row>
    <row r="88" spans="1:26" ht="15.75" customHeight="1" x14ac:dyDescent="0.2">
      <c r="A88" s="58" t="s">
        <v>107</v>
      </c>
      <c r="B88" s="44" t="s">
        <v>106</v>
      </c>
      <c r="C88" s="44" t="s">
        <v>106</v>
      </c>
      <c r="D88" s="72" t="s">
        <v>106</v>
      </c>
      <c r="E88" s="57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</row>
    <row r="89" spans="1:26" ht="15.75" customHeight="1" x14ac:dyDescent="0.2">
      <c r="A89" s="59">
        <v>45952</v>
      </c>
      <c r="B89" s="60">
        <f>EDATE(A89,INT(B86)) + (B86-INT(B86))*DAY(EDATE(A89,INT(B86)+1)-EDATE(A89,INT(B86)))</f>
        <v>45999.746626420456</v>
      </c>
      <c r="C89" s="60">
        <f>EDATE(A89,INT(C86)) + (C86-INT(C86))*DAY(EDATE(A89,INT(C86)+1)-EDATE(A89,INT(C86)))</f>
        <v>45999.746626420456</v>
      </c>
      <c r="D89" s="76">
        <f>EDATE(A89,INT(D86)) + (D86-INT(D86))*DAY(EDATE(A89,INT(D86)+1)-EDATE(A89,INT(D86)))</f>
        <v>45958.038105912645</v>
      </c>
      <c r="E89" s="57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</row>
    <row r="90" spans="1:26" ht="15.75" customHeight="1" x14ac:dyDescent="0.2">
      <c r="A90" s="55"/>
      <c r="B90" s="55"/>
      <c r="C90" s="55"/>
      <c r="D90" s="55"/>
      <c r="E90" s="57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</row>
    <row r="91" spans="1:26" ht="15.75" customHeight="1" x14ac:dyDescent="0.2">
      <c r="A91" s="55"/>
      <c r="B91" s="55"/>
      <c r="C91" s="55"/>
      <c r="D91" s="55"/>
      <c r="E91" s="57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</row>
    <row r="92" spans="1:26" ht="15.75" customHeight="1" x14ac:dyDescent="0.2">
      <c r="A92" s="55"/>
      <c r="B92" s="55"/>
      <c r="C92" s="55"/>
      <c r="D92" s="55"/>
      <c r="E92" s="57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</row>
    <row r="93" spans="1:26" ht="15.75" customHeight="1" x14ac:dyDescent="0.2">
      <c r="A93" s="55"/>
      <c r="B93" s="55"/>
      <c r="C93" s="55"/>
      <c r="D93" s="55"/>
      <c r="E93" s="57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</row>
    <row r="94" spans="1:26" ht="15.75" customHeight="1" x14ac:dyDescent="0.2">
      <c r="A94" s="55"/>
      <c r="B94" s="55"/>
      <c r="C94" s="55"/>
      <c r="D94" s="55"/>
      <c r="E94" s="57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</row>
    <row r="95" spans="1:26" ht="15.75" customHeight="1" x14ac:dyDescent="0.2">
      <c r="A95" s="55"/>
      <c r="B95" s="55"/>
      <c r="C95" s="55"/>
      <c r="D95" s="55"/>
      <c r="E95" s="57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</row>
    <row r="96" spans="1:26" ht="15.75" customHeight="1" x14ac:dyDescent="0.2">
      <c r="A96" s="55"/>
      <c r="B96" s="55"/>
      <c r="C96" s="55"/>
      <c r="D96" s="55"/>
      <c r="E96" s="57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</row>
    <row r="97" spans="1:26" ht="15.75" customHeight="1" x14ac:dyDescent="0.2">
      <c r="A97" s="55"/>
      <c r="B97" s="55"/>
      <c r="C97" s="55"/>
      <c r="D97" s="55"/>
      <c r="E97" s="57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</row>
    <row r="98" spans="1:26" ht="15.75" customHeight="1" x14ac:dyDescent="0.2">
      <c r="A98" s="55"/>
      <c r="B98" s="55"/>
      <c r="C98" s="55"/>
      <c r="D98" s="55"/>
      <c r="E98" s="57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</row>
    <row r="99" spans="1:26" ht="15.75" customHeight="1" x14ac:dyDescent="0.2">
      <c r="A99" s="55"/>
      <c r="B99" s="55"/>
      <c r="C99" s="55"/>
      <c r="D99" s="55"/>
      <c r="E99" s="57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</row>
    <row r="100" spans="1:26" ht="15.75" customHeight="1" x14ac:dyDescent="0.2">
      <c r="A100" s="55"/>
      <c r="B100" s="55"/>
      <c r="C100" s="55"/>
      <c r="D100" s="55"/>
      <c r="E100" s="57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</row>
    <row r="101" spans="1:26" ht="15.75" customHeight="1" x14ac:dyDescent="0.2">
      <c r="A101" s="55"/>
      <c r="B101" s="55"/>
      <c r="C101" s="55"/>
      <c r="D101" s="55"/>
      <c r="E101" s="57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</row>
    <row r="102" spans="1:26" ht="15.75" customHeight="1" x14ac:dyDescent="0.2">
      <c r="A102" s="55"/>
      <c r="B102" s="55"/>
      <c r="C102" s="55"/>
      <c r="D102" s="55"/>
      <c r="E102" s="57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</row>
    <row r="103" spans="1:26" ht="15.75" customHeight="1" x14ac:dyDescent="0.2">
      <c r="A103" s="1"/>
      <c r="B103" s="1"/>
      <c r="C103" s="1"/>
      <c r="D103" s="2"/>
      <c r="E103" s="3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/>
      <c r="B104" s="1"/>
      <c r="C104" s="1"/>
      <c r="D104" s="2"/>
      <c r="E104" s="3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/>
      <c r="B105" s="1"/>
      <c r="C105" s="1"/>
      <c r="D105" s="2"/>
      <c r="E105" s="3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/>
      <c r="B106" s="1"/>
      <c r="C106" s="1"/>
      <c r="D106" s="2"/>
      <c r="E106" s="3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/>
      <c r="B107" s="1"/>
      <c r="C107" s="1"/>
      <c r="D107" s="2"/>
      <c r="E107" s="3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/>
      <c r="B108" s="1"/>
      <c r="C108" s="1"/>
      <c r="D108" s="2"/>
      <c r="E108" s="3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/>
      <c r="B109" s="1"/>
      <c r="C109" s="1"/>
      <c r="D109" s="2"/>
      <c r="E109" s="3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/>
      <c r="B110" s="1"/>
      <c r="C110" s="1"/>
      <c r="D110" s="2"/>
      <c r="E110" s="3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/>
      <c r="B111" s="1"/>
      <c r="C111" s="1"/>
      <c r="D111" s="2"/>
      <c r="E111" s="3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/>
      <c r="B112" s="1"/>
      <c r="C112" s="1"/>
      <c r="D112" s="2"/>
      <c r="E112" s="3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/>
      <c r="B113" s="1"/>
      <c r="C113" s="1"/>
      <c r="D113" s="2"/>
      <c r="E113" s="3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/>
      <c r="B114" s="1"/>
      <c r="C114" s="1"/>
      <c r="D114" s="2"/>
      <c r="E114" s="3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/>
      <c r="B115" s="1"/>
      <c r="C115" s="1"/>
      <c r="D115" s="2"/>
      <c r="E115" s="3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/>
      <c r="B116" s="1"/>
      <c r="C116" s="1"/>
      <c r="D116" s="2"/>
      <c r="E116" s="3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/>
      <c r="B117" s="1"/>
      <c r="C117" s="1"/>
      <c r="D117" s="2"/>
      <c r="E117" s="3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/>
      <c r="B118" s="1"/>
      <c r="C118" s="1"/>
      <c r="D118" s="2"/>
      <c r="E118" s="3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/>
      <c r="B119" s="1"/>
      <c r="C119" s="1"/>
      <c r="D119" s="2"/>
      <c r="E119" s="3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/>
      <c r="B120" s="1"/>
      <c r="C120" s="1"/>
      <c r="D120" s="2"/>
      <c r="E120" s="3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/>
      <c r="B121" s="1"/>
      <c r="C121" s="1"/>
      <c r="D121" s="2"/>
      <c r="E121" s="3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/>
      <c r="B122" s="1"/>
      <c r="C122" s="1"/>
      <c r="D122" s="2"/>
      <c r="E122" s="3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/>
      <c r="B123" s="1"/>
      <c r="C123" s="1"/>
      <c r="D123" s="2"/>
      <c r="E123" s="3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/>
      <c r="B124" s="1"/>
      <c r="C124" s="1"/>
      <c r="D124" s="2"/>
      <c r="E124" s="3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/>
      <c r="B125" s="1"/>
      <c r="C125" s="1"/>
      <c r="D125" s="2"/>
      <c r="E125" s="3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/>
      <c r="B126" s="1"/>
      <c r="C126" s="1"/>
      <c r="D126" s="2"/>
      <c r="E126" s="3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/>
      <c r="B127" s="1"/>
      <c r="C127" s="1"/>
      <c r="D127" s="2"/>
      <c r="E127" s="3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/>
      <c r="B128" s="1"/>
      <c r="C128" s="1"/>
      <c r="D128" s="2"/>
      <c r="E128" s="3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/>
      <c r="B129" s="1"/>
      <c r="C129" s="1"/>
      <c r="D129" s="2"/>
      <c r="E129" s="3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/>
      <c r="B130" s="1"/>
      <c r="C130" s="1"/>
      <c r="D130" s="2"/>
      <c r="E130" s="3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/>
      <c r="B131" s="1"/>
      <c r="C131" s="1"/>
      <c r="D131" s="2"/>
      <c r="E131" s="3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/>
      <c r="B132" s="1"/>
      <c r="C132" s="1"/>
      <c r="D132" s="2"/>
      <c r="E132" s="3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/>
      <c r="B133" s="1"/>
      <c r="C133" s="1"/>
      <c r="D133" s="2"/>
      <c r="E133" s="3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/>
      <c r="B134" s="1"/>
      <c r="C134" s="1"/>
      <c r="D134" s="2"/>
      <c r="E134" s="3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/>
      <c r="B135" s="1"/>
      <c r="C135" s="1"/>
      <c r="D135" s="2"/>
      <c r="E135" s="3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/>
      <c r="B136" s="1"/>
      <c r="C136" s="1"/>
      <c r="D136" s="2"/>
      <c r="E136" s="3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/>
      <c r="B137" s="1"/>
      <c r="C137" s="1"/>
      <c r="D137" s="2"/>
      <c r="E137" s="3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/>
      <c r="B138" s="1"/>
      <c r="C138" s="1"/>
      <c r="D138" s="2"/>
      <c r="E138" s="3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/>
      <c r="B139" s="1"/>
      <c r="C139" s="1"/>
      <c r="D139" s="2"/>
      <c r="E139" s="3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/>
      <c r="B140" s="1"/>
      <c r="C140" s="1"/>
      <c r="D140" s="2"/>
      <c r="E140" s="3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/>
      <c r="B141" s="1"/>
      <c r="C141" s="1"/>
      <c r="D141" s="2"/>
      <c r="E141" s="3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/>
      <c r="B142" s="1"/>
      <c r="C142" s="1"/>
      <c r="D142" s="2"/>
      <c r="E142" s="3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/>
      <c r="B143" s="1"/>
      <c r="C143" s="1"/>
      <c r="D143" s="2"/>
      <c r="E143" s="3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/>
      <c r="B144" s="1"/>
      <c r="C144" s="1"/>
      <c r="D144" s="2"/>
      <c r="E144" s="3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/>
      <c r="B145" s="1"/>
      <c r="C145" s="1"/>
      <c r="D145" s="2"/>
      <c r="E145" s="3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/>
      <c r="B146" s="1"/>
      <c r="C146" s="1"/>
      <c r="D146" s="2"/>
      <c r="E146" s="3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/>
      <c r="B147" s="1"/>
      <c r="C147" s="1"/>
      <c r="D147" s="2"/>
      <c r="E147" s="3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/>
      <c r="B148" s="1"/>
      <c r="C148" s="1"/>
      <c r="D148" s="2"/>
      <c r="E148" s="3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/>
      <c r="B149" s="1"/>
      <c r="C149" s="1"/>
      <c r="D149" s="2"/>
      <c r="E149" s="3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/>
      <c r="B150" s="1"/>
      <c r="C150" s="1"/>
      <c r="D150" s="2"/>
      <c r="E150" s="3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/>
      <c r="B151" s="1"/>
      <c r="C151" s="1"/>
      <c r="D151" s="2"/>
      <c r="E151" s="3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/>
      <c r="B152" s="1"/>
      <c r="C152" s="1"/>
      <c r="D152" s="2"/>
      <c r="E152" s="3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/>
      <c r="B153" s="1"/>
      <c r="C153" s="1"/>
      <c r="D153" s="2"/>
      <c r="E153" s="3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/>
      <c r="B154" s="1"/>
      <c r="C154" s="1"/>
      <c r="D154" s="2"/>
      <c r="E154" s="3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/>
      <c r="B155" s="1"/>
      <c r="C155" s="1"/>
      <c r="D155" s="2"/>
      <c r="E155" s="3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/>
      <c r="B156" s="1"/>
      <c r="C156" s="1"/>
      <c r="D156" s="2"/>
      <c r="E156" s="3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/>
      <c r="B157" s="1"/>
      <c r="C157" s="1"/>
      <c r="D157" s="2"/>
      <c r="E157" s="3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/>
      <c r="B158" s="1"/>
      <c r="C158" s="1"/>
      <c r="D158" s="2"/>
      <c r="E158" s="3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/>
      <c r="B159" s="1"/>
      <c r="C159" s="1"/>
      <c r="D159" s="2"/>
      <c r="E159" s="3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/>
      <c r="B160" s="1"/>
      <c r="C160" s="1"/>
      <c r="D160" s="2"/>
      <c r="E160" s="3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/>
      <c r="B161" s="1"/>
      <c r="C161" s="1"/>
      <c r="D161" s="2"/>
      <c r="E161" s="3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/>
      <c r="B162" s="1"/>
      <c r="C162" s="1"/>
      <c r="D162" s="2"/>
      <c r="E162" s="3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/>
      <c r="B163" s="1"/>
      <c r="C163" s="1"/>
      <c r="D163" s="2"/>
      <c r="E163" s="3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/>
      <c r="B164" s="1"/>
      <c r="C164" s="1"/>
      <c r="D164" s="2"/>
      <c r="E164" s="3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/>
      <c r="B165" s="1"/>
      <c r="C165" s="1"/>
      <c r="D165" s="2"/>
      <c r="E165" s="3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/>
      <c r="B166" s="1"/>
      <c r="C166" s="1"/>
      <c r="D166" s="2"/>
      <c r="E166" s="3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/>
      <c r="B167" s="1"/>
      <c r="C167" s="1"/>
      <c r="D167" s="2"/>
      <c r="E167" s="3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/>
      <c r="B168" s="1"/>
      <c r="C168" s="1"/>
      <c r="D168" s="2"/>
      <c r="E168" s="3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/>
      <c r="B169" s="1"/>
      <c r="C169" s="1"/>
      <c r="D169" s="2"/>
      <c r="E169" s="3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/>
      <c r="B170" s="1"/>
      <c r="C170" s="1"/>
      <c r="D170" s="2"/>
      <c r="E170" s="3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/>
      <c r="B171" s="1"/>
      <c r="C171" s="1"/>
      <c r="D171" s="2"/>
      <c r="E171" s="3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/>
      <c r="B172" s="1"/>
      <c r="C172" s="1"/>
      <c r="D172" s="2"/>
      <c r="E172" s="3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/>
      <c r="B173" s="1"/>
      <c r="C173" s="1"/>
      <c r="D173" s="2"/>
      <c r="E173" s="3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/>
      <c r="B174" s="1"/>
      <c r="C174" s="1"/>
      <c r="D174" s="2"/>
      <c r="E174" s="3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/>
      <c r="B175" s="1"/>
      <c r="C175" s="1"/>
      <c r="D175" s="2"/>
      <c r="E175" s="3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/>
      <c r="B176" s="1"/>
      <c r="C176" s="1"/>
      <c r="D176" s="2"/>
      <c r="E176" s="3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/>
      <c r="B177" s="1"/>
      <c r="C177" s="1"/>
      <c r="D177" s="2"/>
      <c r="E177" s="3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/>
      <c r="B178" s="1"/>
      <c r="C178" s="1"/>
      <c r="D178" s="2"/>
      <c r="E178" s="3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/>
      <c r="B179" s="1"/>
      <c r="C179" s="1"/>
      <c r="D179" s="2"/>
      <c r="E179" s="3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/>
      <c r="B180" s="1"/>
      <c r="C180" s="1"/>
      <c r="D180" s="2"/>
      <c r="E180" s="3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/>
      <c r="B181" s="1"/>
      <c r="C181" s="1"/>
      <c r="D181" s="2"/>
      <c r="E181" s="3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/>
      <c r="B182" s="1"/>
      <c r="C182" s="1"/>
      <c r="D182" s="2"/>
      <c r="E182" s="3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/>
      <c r="B183" s="1"/>
      <c r="C183" s="1"/>
      <c r="D183" s="2"/>
      <c r="E183" s="3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/>
      <c r="B184" s="1"/>
      <c r="C184" s="1"/>
      <c r="D184" s="2"/>
      <c r="E184" s="3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/>
      <c r="B185" s="1"/>
      <c r="C185" s="1"/>
      <c r="D185" s="2"/>
      <c r="E185" s="3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/>
      <c r="B186" s="1"/>
      <c r="C186" s="1"/>
      <c r="D186" s="2"/>
      <c r="E186" s="3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/>
      <c r="B187" s="1"/>
      <c r="C187" s="1"/>
      <c r="D187" s="2"/>
      <c r="E187" s="3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/>
      <c r="B188" s="1"/>
      <c r="C188" s="1"/>
      <c r="D188" s="2"/>
      <c r="E188" s="3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/>
      <c r="B189" s="1"/>
      <c r="C189" s="1"/>
      <c r="D189" s="2"/>
      <c r="E189" s="3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/>
      <c r="B190" s="1"/>
      <c r="C190" s="1"/>
      <c r="D190" s="2"/>
      <c r="E190" s="3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/>
      <c r="B191" s="1"/>
      <c r="C191" s="1"/>
      <c r="D191" s="2"/>
      <c r="E191" s="3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/>
      <c r="B192" s="1"/>
      <c r="C192" s="1"/>
      <c r="D192" s="2"/>
      <c r="E192" s="3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/>
      <c r="B193" s="1"/>
      <c r="C193" s="1"/>
      <c r="D193" s="2"/>
      <c r="E193" s="3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/>
      <c r="B194" s="1"/>
      <c r="C194" s="1"/>
      <c r="D194" s="2"/>
      <c r="E194" s="3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/>
      <c r="B195" s="1"/>
      <c r="C195" s="1"/>
      <c r="D195" s="2"/>
      <c r="E195" s="3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/>
      <c r="B196" s="1"/>
      <c r="C196" s="1"/>
      <c r="D196" s="2"/>
      <c r="E196" s="3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/>
      <c r="B197" s="1"/>
      <c r="C197" s="1"/>
      <c r="D197" s="2"/>
      <c r="E197" s="3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/>
      <c r="B198" s="1"/>
      <c r="C198" s="1"/>
      <c r="D198" s="2"/>
      <c r="E198" s="3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/>
      <c r="B199" s="1"/>
      <c r="C199" s="1"/>
      <c r="D199" s="2"/>
      <c r="E199" s="3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/>
      <c r="B200" s="1"/>
      <c r="C200" s="1"/>
      <c r="D200" s="2"/>
      <c r="E200" s="3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/>
      <c r="B201" s="1"/>
      <c r="C201" s="1"/>
      <c r="D201" s="2"/>
      <c r="E201" s="3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/>
      <c r="B202" s="1"/>
      <c r="C202" s="1"/>
      <c r="D202" s="2"/>
      <c r="E202" s="3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/>
      <c r="B203" s="1"/>
      <c r="C203" s="1"/>
      <c r="D203" s="2"/>
      <c r="E203" s="3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/>
      <c r="B204" s="1"/>
      <c r="C204" s="1"/>
      <c r="D204" s="2"/>
      <c r="E204" s="3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/>
      <c r="B205" s="1"/>
      <c r="C205" s="1"/>
      <c r="D205" s="2"/>
      <c r="E205" s="3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/>
      <c r="B206" s="1"/>
      <c r="C206" s="1"/>
      <c r="D206" s="2"/>
      <c r="E206" s="3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/>
      <c r="B207" s="1"/>
      <c r="C207" s="1"/>
      <c r="D207" s="2"/>
      <c r="E207" s="3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/>
      <c r="B208" s="1"/>
      <c r="C208" s="1"/>
      <c r="D208" s="2"/>
      <c r="E208" s="3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/>
      <c r="B209" s="1"/>
      <c r="C209" s="1"/>
      <c r="D209" s="2"/>
      <c r="E209" s="3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/>
      <c r="B210" s="1"/>
      <c r="C210" s="1"/>
      <c r="D210" s="2"/>
      <c r="E210" s="3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/>
      <c r="B211" s="1"/>
      <c r="C211" s="1"/>
      <c r="D211" s="2"/>
      <c r="E211" s="3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/>
      <c r="B212" s="1"/>
      <c r="C212" s="1"/>
      <c r="D212" s="2"/>
      <c r="E212" s="3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/>
      <c r="B213" s="1"/>
      <c r="C213" s="1"/>
      <c r="D213" s="2"/>
      <c r="E213" s="3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/>
      <c r="B214" s="1"/>
      <c r="C214" s="1"/>
      <c r="D214" s="2"/>
      <c r="E214" s="3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/>
      <c r="B215" s="1"/>
      <c r="C215" s="1"/>
      <c r="D215" s="2"/>
      <c r="E215" s="3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/>
      <c r="B216" s="1"/>
      <c r="C216" s="1"/>
      <c r="D216" s="2"/>
      <c r="E216" s="3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/>
      <c r="B217" s="1"/>
      <c r="C217" s="1"/>
      <c r="D217" s="2"/>
      <c r="E217" s="3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/>
      <c r="B218" s="1"/>
      <c r="C218" s="1"/>
      <c r="D218" s="2"/>
      <c r="E218" s="3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/>
      <c r="B219" s="1"/>
      <c r="C219" s="1"/>
      <c r="D219" s="2"/>
      <c r="E219" s="3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/>
      <c r="B220" s="1"/>
      <c r="C220" s="1"/>
      <c r="D220" s="2"/>
      <c r="E220" s="3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/>
      <c r="B221" s="1"/>
      <c r="C221" s="1"/>
      <c r="D221" s="2"/>
      <c r="E221" s="3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/>
      <c r="B222" s="1"/>
      <c r="C222" s="1"/>
      <c r="D222" s="2"/>
      <c r="E222" s="3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/>
      <c r="B223" s="1"/>
      <c r="C223" s="1"/>
      <c r="D223" s="2"/>
      <c r="E223" s="3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/>
      <c r="B224" s="1"/>
      <c r="C224" s="1"/>
      <c r="D224" s="2"/>
      <c r="E224" s="3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/>
      <c r="B225" s="1"/>
      <c r="C225" s="1"/>
      <c r="D225" s="2"/>
      <c r="E225" s="3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/>
      <c r="B226" s="1"/>
      <c r="C226" s="1"/>
      <c r="D226" s="2"/>
      <c r="E226" s="3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/>
      <c r="B227" s="1"/>
      <c r="C227" s="1"/>
      <c r="D227" s="2"/>
      <c r="E227" s="3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/>
      <c r="B228" s="1"/>
      <c r="C228" s="1"/>
      <c r="D228" s="2"/>
      <c r="E228" s="3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/>
      <c r="B229" s="1"/>
      <c r="C229" s="1"/>
      <c r="D229" s="2"/>
      <c r="E229" s="3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/>
      <c r="B230" s="1"/>
      <c r="C230" s="1"/>
      <c r="D230" s="2"/>
      <c r="E230" s="3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/>
      <c r="B231" s="1"/>
      <c r="C231" s="1"/>
      <c r="D231" s="2"/>
      <c r="E231" s="3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/>
      <c r="B232" s="1"/>
      <c r="C232" s="1"/>
      <c r="D232" s="2"/>
      <c r="E232" s="3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/>
      <c r="B233" s="1"/>
      <c r="C233" s="1"/>
      <c r="D233" s="2"/>
      <c r="E233" s="3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/>
      <c r="B234" s="1"/>
      <c r="C234" s="1"/>
      <c r="D234" s="2"/>
      <c r="E234" s="3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/>
      <c r="B235" s="1"/>
      <c r="C235" s="1"/>
      <c r="D235" s="2"/>
      <c r="E235" s="3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/>
      <c r="B236" s="1"/>
      <c r="C236" s="1"/>
      <c r="D236" s="2"/>
      <c r="E236" s="3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/>
      <c r="B237" s="1"/>
      <c r="C237" s="1"/>
      <c r="D237" s="2"/>
      <c r="E237" s="3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/>
      <c r="B238" s="1"/>
      <c r="C238" s="1"/>
      <c r="D238" s="2"/>
      <c r="E238" s="3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/>
      <c r="B239" s="1"/>
      <c r="C239" s="1"/>
      <c r="D239" s="2"/>
      <c r="E239" s="3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/>
      <c r="B240" s="1"/>
      <c r="C240" s="1"/>
      <c r="D240" s="2"/>
      <c r="E240" s="3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/>
      <c r="B241" s="1"/>
      <c r="C241" s="1"/>
      <c r="D241" s="2"/>
      <c r="E241" s="3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/>
      <c r="B242" s="1"/>
      <c r="C242" s="1"/>
      <c r="D242" s="2"/>
      <c r="E242" s="3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/>
      <c r="B243" s="1"/>
      <c r="C243" s="1"/>
      <c r="D243" s="2"/>
      <c r="E243" s="3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/>
      <c r="B244" s="1"/>
      <c r="C244" s="1"/>
      <c r="D244" s="2"/>
      <c r="E244" s="3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/>
      <c r="B245" s="1"/>
      <c r="C245" s="1"/>
      <c r="D245" s="2"/>
      <c r="E245" s="3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/>
      <c r="B246" s="1"/>
      <c r="C246" s="1"/>
      <c r="D246" s="2"/>
      <c r="E246" s="3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/>
      <c r="B247" s="1"/>
      <c r="C247" s="1"/>
      <c r="D247" s="2"/>
      <c r="E247" s="3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/>
      <c r="B248" s="1"/>
      <c r="C248" s="1"/>
      <c r="D248" s="2"/>
      <c r="E248" s="3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/>
      <c r="B249" s="1"/>
      <c r="C249" s="1"/>
      <c r="D249" s="2"/>
      <c r="E249" s="3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/>
      <c r="B250" s="1"/>
      <c r="C250" s="1"/>
      <c r="D250" s="2"/>
      <c r="E250" s="3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/>
      <c r="B251" s="1"/>
      <c r="C251" s="1"/>
      <c r="D251" s="2"/>
      <c r="E251" s="3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/>
      <c r="B252" s="1"/>
      <c r="C252" s="1"/>
      <c r="D252" s="2"/>
      <c r="E252" s="3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/>
      <c r="B253" s="1"/>
      <c r="C253" s="1"/>
      <c r="D253" s="2"/>
      <c r="E253" s="3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/>
      <c r="B254" s="1"/>
      <c r="C254" s="1"/>
      <c r="D254" s="2"/>
      <c r="E254" s="3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/>
      <c r="B255" s="1"/>
      <c r="C255" s="1"/>
      <c r="D255" s="2"/>
      <c r="E255" s="3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/>
      <c r="B256" s="1"/>
      <c r="C256" s="1"/>
      <c r="D256" s="2"/>
      <c r="E256" s="3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/>
      <c r="B257" s="1"/>
      <c r="C257" s="1"/>
      <c r="D257" s="2"/>
      <c r="E257" s="3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/>
      <c r="B258" s="1"/>
      <c r="C258" s="1"/>
      <c r="D258" s="2"/>
      <c r="E258" s="3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/>
      <c r="B259" s="1"/>
      <c r="C259" s="1"/>
      <c r="D259" s="2"/>
      <c r="E259" s="3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/>
      <c r="B260" s="1"/>
      <c r="C260" s="1"/>
      <c r="D260" s="2"/>
      <c r="E260" s="3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/>
      <c r="B261" s="1"/>
      <c r="C261" s="1"/>
      <c r="D261" s="2"/>
      <c r="E261" s="3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/>
      <c r="B262" s="1"/>
      <c r="C262" s="1"/>
      <c r="D262" s="2"/>
      <c r="E262" s="3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/>
      <c r="B263" s="1"/>
      <c r="C263" s="1"/>
      <c r="D263" s="2"/>
      <c r="E263" s="3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/>
      <c r="B264" s="1"/>
      <c r="C264" s="1"/>
      <c r="D264" s="2"/>
      <c r="E264" s="3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/>
      <c r="B265" s="1"/>
      <c r="C265" s="1"/>
      <c r="D265" s="2"/>
      <c r="E265" s="3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/>
      <c r="B266" s="1"/>
      <c r="C266" s="1"/>
      <c r="D266" s="2"/>
      <c r="E266" s="3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/>
      <c r="B267" s="1"/>
      <c r="C267" s="1"/>
      <c r="D267" s="2"/>
      <c r="E267" s="3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/>
      <c r="B268" s="1"/>
      <c r="C268" s="1"/>
      <c r="D268" s="2"/>
      <c r="E268" s="3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/>
      <c r="B269" s="1"/>
      <c r="C269" s="1"/>
      <c r="D269" s="2"/>
      <c r="E269" s="3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/>
      <c r="B270" s="1"/>
      <c r="C270" s="1"/>
      <c r="D270" s="2"/>
      <c r="E270" s="3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/>
      <c r="B271" s="1"/>
      <c r="C271" s="1"/>
      <c r="D271" s="2"/>
      <c r="E271" s="3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/>
      <c r="B272" s="1"/>
      <c r="C272" s="1"/>
      <c r="D272" s="2"/>
      <c r="E272" s="3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/>
      <c r="B273" s="1"/>
      <c r="C273" s="1"/>
      <c r="D273" s="2"/>
      <c r="E273" s="3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/>
      <c r="B274" s="1"/>
      <c r="C274" s="1"/>
      <c r="D274" s="2"/>
      <c r="E274" s="3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/>
      <c r="B275" s="1"/>
      <c r="C275" s="1"/>
      <c r="D275" s="2"/>
      <c r="E275" s="3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/>
      <c r="B276" s="1"/>
      <c r="C276" s="1"/>
      <c r="D276" s="2"/>
      <c r="E276" s="3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/>
      <c r="B277" s="1"/>
      <c r="C277" s="1"/>
      <c r="D277" s="2"/>
      <c r="E277" s="3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/>
      <c r="B278" s="1"/>
      <c r="C278" s="1"/>
      <c r="D278" s="2"/>
      <c r="E278" s="3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/>
      <c r="B279" s="1"/>
      <c r="C279" s="1"/>
      <c r="D279" s="2"/>
      <c r="E279" s="3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/>
      <c r="B280" s="1"/>
      <c r="C280" s="1"/>
      <c r="D280" s="2"/>
      <c r="E280" s="3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/>
      <c r="B281" s="1"/>
      <c r="C281" s="1"/>
      <c r="D281" s="2"/>
      <c r="E281" s="3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/>
      <c r="B282" s="1"/>
      <c r="C282" s="1"/>
      <c r="D282" s="2"/>
      <c r="E282" s="3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/>
      <c r="B283" s="1"/>
      <c r="C283" s="1"/>
      <c r="D283" s="2"/>
      <c r="E283" s="3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/>
      <c r="B284" s="1"/>
      <c r="C284" s="1"/>
      <c r="D284" s="2"/>
      <c r="E284" s="3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/>
      <c r="B285" s="1"/>
      <c r="C285" s="1"/>
      <c r="D285" s="2"/>
      <c r="E285" s="3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/>
      <c r="B286" s="1"/>
      <c r="C286" s="1"/>
      <c r="D286" s="2"/>
      <c r="E286" s="3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/>
      <c r="B287" s="1"/>
      <c r="C287" s="1"/>
      <c r="D287" s="2"/>
      <c r="E287" s="3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/>
      <c r="B288" s="1"/>
      <c r="C288" s="1"/>
      <c r="D288" s="2"/>
      <c r="E288" s="3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/>
      <c r="B289" s="1"/>
      <c r="C289" s="1"/>
      <c r="D289" s="2"/>
      <c r="E289" s="3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/>
      <c r="B290" s="1"/>
      <c r="C290" s="1"/>
      <c r="D290" s="2"/>
      <c r="E290" s="3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/>
      <c r="B291" s="1"/>
      <c r="C291" s="1"/>
      <c r="D291" s="2"/>
      <c r="E291" s="3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/>
      <c r="B292" s="1"/>
      <c r="C292" s="1"/>
      <c r="D292" s="2"/>
      <c r="E292" s="3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/>
      <c r="B293" s="1"/>
      <c r="C293" s="1"/>
      <c r="D293" s="2"/>
      <c r="E293" s="3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/>
      <c r="B294" s="1"/>
      <c r="C294" s="1"/>
      <c r="D294" s="2"/>
      <c r="E294" s="3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/>
      <c r="B295" s="1"/>
      <c r="C295" s="1"/>
      <c r="D295" s="2"/>
      <c r="E295" s="3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/>
      <c r="B296" s="1"/>
      <c r="C296" s="1"/>
      <c r="D296" s="2"/>
      <c r="E296" s="3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/>
      <c r="B297" s="1"/>
      <c r="C297" s="1"/>
      <c r="D297" s="2"/>
      <c r="E297" s="3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/>
      <c r="B298" s="1"/>
      <c r="C298" s="1"/>
      <c r="D298" s="2"/>
      <c r="E298" s="3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/>
      <c r="B299" s="1"/>
      <c r="C299" s="1"/>
      <c r="D299" s="2"/>
      <c r="E299" s="3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/>
      <c r="B300" s="1"/>
      <c r="C300" s="1"/>
      <c r="D300" s="2"/>
      <c r="E300" s="3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/>
      <c r="B301" s="1"/>
      <c r="C301" s="1"/>
      <c r="D301" s="2"/>
      <c r="E301" s="3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/>
      <c r="B302" s="1"/>
      <c r="C302" s="1"/>
      <c r="D302" s="2"/>
      <c r="E302" s="3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/>
      <c r="B303" s="1"/>
      <c r="C303" s="1"/>
      <c r="D303" s="2"/>
      <c r="E303" s="3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/>
      <c r="B304" s="1"/>
      <c r="C304" s="1"/>
      <c r="D304" s="2"/>
      <c r="E304" s="3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/>
      <c r="B305" s="1"/>
      <c r="C305" s="1"/>
      <c r="D305" s="2"/>
      <c r="E305" s="3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/>
      <c r="B306" s="1"/>
      <c r="C306" s="1"/>
      <c r="D306" s="2"/>
      <c r="E306" s="3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/>
      <c r="B307" s="1"/>
      <c r="C307" s="1"/>
      <c r="D307" s="2"/>
      <c r="E307" s="3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/>
      <c r="B308" s="1"/>
      <c r="C308" s="1"/>
      <c r="D308" s="2"/>
      <c r="E308" s="3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/>
      <c r="B309" s="1"/>
      <c r="C309" s="1"/>
      <c r="D309" s="2"/>
      <c r="E309" s="3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/>
      <c r="B310" s="1"/>
      <c r="C310" s="1"/>
      <c r="D310" s="2"/>
      <c r="E310" s="3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/>
      <c r="B311" s="1"/>
      <c r="C311" s="1"/>
      <c r="D311" s="2"/>
      <c r="E311" s="3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/>
      <c r="B312" s="1"/>
      <c r="C312" s="1"/>
      <c r="D312" s="2"/>
      <c r="E312" s="3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/>
      <c r="B313" s="1"/>
      <c r="C313" s="1"/>
      <c r="D313" s="2"/>
      <c r="E313" s="3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/>
      <c r="B314" s="1"/>
      <c r="C314" s="1"/>
      <c r="D314" s="2"/>
      <c r="E314" s="3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/>
      <c r="B315" s="1"/>
      <c r="C315" s="1"/>
      <c r="D315" s="2"/>
      <c r="E315" s="3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/>
      <c r="B316" s="1"/>
      <c r="C316" s="1"/>
      <c r="D316" s="2"/>
      <c r="E316" s="3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/>
      <c r="B317" s="1"/>
      <c r="C317" s="1"/>
      <c r="D317" s="2"/>
      <c r="E317" s="3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/>
      <c r="B318" s="1"/>
      <c r="C318" s="1"/>
      <c r="D318" s="2"/>
      <c r="E318" s="3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/>
      <c r="B319" s="1"/>
      <c r="C319" s="1"/>
      <c r="D319" s="2"/>
      <c r="E319" s="3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/>
      <c r="B320" s="1"/>
      <c r="C320" s="1"/>
      <c r="D320" s="2"/>
      <c r="E320" s="3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/>
      <c r="B321" s="1"/>
      <c r="C321" s="1"/>
      <c r="D321" s="2"/>
      <c r="E321" s="3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/>
      <c r="B322" s="1"/>
      <c r="C322" s="1"/>
      <c r="D322" s="2"/>
      <c r="E322" s="3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/>
      <c r="B323" s="1"/>
      <c r="C323" s="1"/>
      <c r="D323" s="2"/>
      <c r="E323" s="3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/>
      <c r="B324" s="1"/>
      <c r="C324" s="1"/>
      <c r="D324" s="2"/>
      <c r="E324" s="3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/>
      <c r="B325" s="1"/>
      <c r="C325" s="1"/>
      <c r="D325" s="2"/>
      <c r="E325" s="3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/>
      <c r="B326" s="1"/>
      <c r="C326" s="1"/>
      <c r="D326" s="2"/>
      <c r="E326" s="3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/>
      <c r="B327" s="1"/>
      <c r="C327" s="1"/>
      <c r="D327" s="2"/>
      <c r="E327" s="3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/>
      <c r="B328" s="1"/>
      <c r="C328" s="1"/>
      <c r="D328" s="2"/>
      <c r="E328" s="3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/>
      <c r="B329" s="1"/>
      <c r="C329" s="1"/>
      <c r="D329" s="2"/>
      <c r="E329" s="3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/>
      <c r="B330" s="1"/>
      <c r="C330" s="1"/>
      <c r="D330" s="2"/>
      <c r="E330" s="3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/>
      <c r="B331" s="1"/>
      <c r="C331" s="1"/>
      <c r="D331" s="2"/>
      <c r="E331" s="3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/>
      <c r="B332" s="1"/>
      <c r="C332" s="1"/>
      <c r="D332" s="2"/>
      <c r="E332" s="3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/>
      <c r="B333" s="1"/>
      <c r="C333" s="1"/>
      <c r="D333" s="2"/>
      <c r="E333" s="3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/>
      <c r="B334" s="1"/>
      <c r="C334" s="1"/>
      <c r="D334" s="2"/>
      <c r="E334" s="3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/>
      <c r="B335" s="1"/>
      <c r="C335" s="1"/>
      <c r="D335" s="2"/>
      <c r="E335" s="3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/>
      <c r="B336" s="1"/>
      <c r="C336" s="1"/>
      <c r="D336" s="2"/>
      <c r="E336" s="3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/>
      <c r="B337" s="1"/>
      <c r="C337" s="1"/>
      <c r="D337" s="2"/>
      <c r="E337" s="3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/>
      <c r="B338" s="1"/>
      <c r="C338" s="1"/>
      <c r="D338" s="2"/>
      <c r="E338" s="3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/>
      <c r="B339" s="1"/>
      <c r="C339" s="1"/>
      <c r="D339" s="2"/>
      <c r="E339" s="3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/>
      <c r="B340" s="1"/>
      <c r="C340" s="1"/>
      <c r="D340" s="2"/>
      <c r="E340" s="3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/>
      <c r="B341" s="1"/>
      <c r="C341" s="1"/>
      <c r="D341" s="2"/>
      <c r="E341" s="3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/>
      <c r="B342" s="1"/>
      <c r="C342" s="1"/>
      <c r="D342" s="2"/>
      <c r="E342" s="3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/>
      <c r="B343" s="1"/>
      <c r="C343" s="1"/>
      <c r="D343" s="2"/>
      <c r="E343" s="3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/>
      <c r="B344" s="1"/>
      <c r="C344" s="1"/>
      <c r="D344" s="2"/>
      <c r="E344" s="3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/>
      <c r="B345" s="1"/>
      <c r="C345" s="1"/>
      <c r="D345" s="2"/>
      <c r="E345" s="3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/>
      <c r="B346" s="1"/>
      <c r="C346" s="1"/>
      <c r="D346" s="2"/>
      <c r="E346" s="3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/>
      <c r="B347" s="1"/>
      <c r="C347" s="1"/>
      <c r="D347" s="2"/>
      <c r="E347" s="3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/>
      <c r="B348" s="1"/>
      <c r="C348" s="1"/>
      <c r="D348" s="2"/>
      <c r="E348" s="3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/>
      <c r="B349" s="1"/>
      <c r="C349" s="1"/>
      <c r="D349" s="2"/>
      <c r="E349" s="3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/>
      <c r="B350" s="1"/>
      <c r="C350" s="1"/>
      <c r="D350" s="2"/>
      <c r="E350" s="3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/>
      <c r="B351" s="1"/>
      <c r="C351" s="1"/>
      <c r="D351" s="2"/>
      <c r="E351" s="3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/>
      <c r="B352" s="1"/>
      <c r="C352" s="1"/>
      <c r="D352" s="2"/>
      <c r="E352" s="3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/>
      <c r="B353" s="1"/>
      <c r="C353" s="1"/>
      <c r="D353" s="2"/>
      <c r="E353" s="3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B354" s="1"/>
      <c r="C354" s="1"/>
      <c r="D354" s="2"/>
      <c r="E354" s="3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B355" s="1"/>
      <c r="C355" s="1"/>
      <c r="D355" s="2"/>
      <c r="E355" s="3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1"/>
      <c r="C356" s="1"/>
      <c r="D356" s="2"/>
      <c r="E356" s="3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1"/>
      <c r="C357" s="1"/>
      <c r="D357" s="2"/>
      <c r="E357" s="3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"/>
      <c r="D358" s="2"/>
      <c r="E358" s="3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1"/>
      <c r="C359" s="1"/>
      <c r="D359" s="2"/>
      <c r="E359" s="3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1"/>
      <c r="C360" s="1"/>
      <c r="D360" s="2"/>
      <c r="E360" s="3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1"/>
      <c r="C361" s="1"/>
      <c r="D361" s="2"/>
      <c r="E361" s="3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2"/>
      <c r="E362" s="3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2"/>
      <c r="E363" s="3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2"/>
      <c r="E364" s="3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2"/>
      <c r="E365" s="3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2"/>
      <c r="E366" s="3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2"/>
      <c r="E367" s="3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2"/>
      <c r="E368" s="3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2"/>
      <c r="E369" s="3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2"/>
      <c r="E370" s="3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2"/>
      <c r="E371" s="3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2"/>
      <c r="E372" s="3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2"/>
      <c r="E373" s="3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2"/>
      <c r="E374" s="3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2"/>
      <c r="E375" s="3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2"/>
      <c r="E376" s="3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2"/>
      <c r="E377" s="3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2"/>
      <c r="E378" s="3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2"/>
      <c r="E379" s="3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2"/>
      <c r="E380" s="3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2"/>
      <c r="E381" s="3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2"/>
      <c r="E382" s="3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2"/>
      <c r="E383" s="3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2"/>
      <c r="E384" s="3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2"/>
      <c r="E385" s="3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2"/>
      <c r="E386" s="3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2"/>
      <c r="E387" s="3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2"/>
      <c r="E388" s="3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2"/>
      <c r="E389" s="3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2"/>
      <c r="E390" s="3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2"/>
      <c r="E391" s="3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2"/>
      <c r="E392" s="3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2"/>
      <c r="E393" s="3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2"/>
      <c r="E394" s="3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2"/>
      <c r="E395" s="3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2"/>
      <c r="E396" s="3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2"/>
      <c r="E397" s="3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2"/>
      <c r="E398" s="3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2"/>
      <c r="E399" s="3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2"/>
      <c r="E400" s="3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2"/>
      <c r="E401" s="3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2"/>
      <c r="E402" s="3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2"/>
      <c r="E403" s="3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2"/>
      <c r="E404" s="3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2"/>
      <c r="E405" s="3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2"/>
      <c r="E406" s="3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2"/>
      <c r="E407" s="3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2"/>
      <c r="E408" s="3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2"/>
      <c r="E409" s="3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2"/>
      <c r="E410" s="3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2"/>
      <c r="E411" s="3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2"/>
      <c r="E412" s="3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2"/>
      <c r="E413" s="3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2"/>
      <c r="E414" s="3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2"/>
      <c r="E415" s="3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2"/>
      <c r="E416" s="3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2"/>
      <c r="E417" s="3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2"/>
      <c r="E418" s="3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2"/>
      <c r="E419" s="3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2"/>
      <c r="E420" s="3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2"/>
      <c r="E421" s="3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2"/>
      <c r="E422" s="3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2"/>
      <c r="E423" s="3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2"/>
      <c r="E424" s="3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2"/>
      <c r="E425" s="3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2"/>
      <c r="E426" s="3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2"/>
      <c r="E427" s="3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2"/>
      <c r="E428" s="3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2"/>
      <c r="E429" s="3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2"/>
      <c r="E430" s="3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2"/>
      <c r="E431" s="3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2"/>
      <c r="E432" s="3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2"/>
      <c r="E433" s="3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2"/>
      <c r="E434" s="3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2"/>
      <c r="E435" s="3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2"/>
      <c r="E436" s="3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2"/>
      <c r="E437" s="3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2"/>
      <c r="E438" s="3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2"/>
      <c r="E439" s="3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2"/>
      <c r="E440" s="3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2"/>
      <c r="E441" s="3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2"/>
      <c r="E442" s="3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2"/>
      <c r="E443" s="3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2"/>
      <c r="E444" s="3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2"/>
      <c r="E445" s="3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2"/>
      <c r="E446" s="3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2"/>
      <c r="E447" s="3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2"/>
      <c r="E448" s="3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2"/>
      <c r="E449" s="3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2"/>
      <c r="E450" s="3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2"/>
      <c r="E451" s="3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2"/>
      <c r="E452" s="3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2"/>
      <c r="E453" s="3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2"/>
      <c r="E454" s="3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2"/>
      <c r="E455" s="3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2"/>
      <c r="E456" s="3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2"/>
      <c r="E457" s="3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2"/>
      <c r="E458" s="3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2"/>
      <c r="E459" s="3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2"/>
      <c r="E460" s="3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2"/>
      <c r="E461" s="3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2"/>
      <c r="E462" s="3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2"/>
      <c r="E463" s="3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2"/>
      <c r="E464" s="3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2"/>
      <c r="E465" s="3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2"/>
      <c r="E466" s="3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2"/>
      <c r="E467" s="3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2"/>
      <c r="E468" s="3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2"/>
      <c r="E469" s="3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2"/>
      <c r="E470" s="3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2"/>
      <c r="E471" s="3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2"/>
      <c r="E472" s="3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2"/>
      <c r="E473" s="3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2"/>
      <c r="E474" s="3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2"/>
      <c r="E475" s="3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2"/>
      <c r="E476" s="3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2"/>
      <c r="E477" s="3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2"/>
      <c r="E478" s="3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2"/>
      <c r="E479" s="3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2"/>
      <c r="E480" s="3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2"/>
      <c r="E481" s="3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2"/>
      <c r="E482" s="3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2"/>
      <c r="E483" s="3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2"/>
      <c r="E484" s="3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2"/>
      <c r="E485" s="3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2"/>
      <c r="E486" s="3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2"/>
      <c r="E487" s="3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2"/>
      <c r="E488" s="3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2"/>
      <c r="E489" s="3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2"/>
      <c r="E490" s="3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2"/>
      <c r="E491" s="3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2"/>
      <c r="E492" s="3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2"/>
      <c r="E493" s="3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2"/>
      <c r="E494" s="3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2"/>
      <c r="E495" s="3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2"/>
      <c r="E496" s="3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2"/>
      <c r="E497" s="3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2"/>
      <c r="E498" s="3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2"/>
      <c r="E499" s="3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2"/>
      <c r="E500" s="3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2"/>
      <c r="E501" s="3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2"/>
      <c r="E502" s="3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2"/>
      <c r="E503" s="3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2"/>
      <c r="E504" s="3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2"/>
      <c r="E505" s="3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2"/>
      <c r="E506" s="3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2"/>
      <c r="E507" s="3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2"/>
      <c r="E508" s="3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2"/>
      <c r="E509" s="3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2"/>
      <c r="E510" s="3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2"/>
      <c r="E511" s="3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2"/>
      <c r="E512" s="3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2"/>
      <c r="E513" s="3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2"/>
      <c r="E514" s="3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2"/>
      <c r="E515" s="3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2"/>
      <c r="E516" s="3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2"/>
      <c r="E517" s="3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2"/>
      <c r="E518" s="3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2"/>
      <c r="E519" s="3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2"/>
      <c r="E520" s="3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2"/>
      <c r="E521" s="3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2"/>
      <c r="E522" s="3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2"/>
      <c r="E523" s="3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2"/>
      <c r="E524" s="3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2"/>
      <c r="E525" s="3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2"/>
      <c r="E526" s="3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2"/>
      <c r="E527" s="3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2"/>
      <c r="E528" s="3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2"/>
      <c r="E529" s="3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2"/>
      <c r="E530" s="3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2"/>
      <c r="E531" s="3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2"/>
      <c r="E532" s="3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2"/>
      <c r="E533" s="3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2"/>
      <c r="E534" s="3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2"/>
      <c r="E535" s="3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2"/>
      <c r="E536" s="3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2"/>
      <c r="E537" s="3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2"/>
      <c r="E538" s="3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2"/>
      <c r="E539" s="3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2"/>
      <c r="E540" s="3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2"/>
      <c r="E541" s="3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2"/>
      <c r="E542" s="3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2"/>
      <c r="E543" s="3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2"/>
      <c r="E544" s="3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2"/>
      <c r="E545" s="3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2"/>
      <c r="E546" s="3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2"/>
      <c r="E547" s="3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2"/>
      <c r="E548" s="3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2"/>
      <c r="E549" s="3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2"/>
      <c r="E550" s="3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2"/>
      <c r="E551" s="3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2"/>
      <c r="E552" s="3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2"/>
      <c r="E553" s="3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2"/>
      <c r="E554" s="3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2"/>
      <c r="E555" s="3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2"/>
      <c r="E556" s="3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2"/>
      <c r="E557" s="3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2"/>
      <c r="E558" s="3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2"/>
      <c r="E559" s="3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2"/>
      <c r="E560" s="3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2"/>
      <c r="E561" s="3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2"/>
      <c r="E562" s="3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2"/>
      <c r="E563" s="3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2"/>
      <c r="E564" s="3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2"/>
      <c r="E565" s="3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2"/>
      <c r="E566" s="3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2"/>
      <c r="E567" s="3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2"/>
      <c r="E568" s="3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2"/>
      <c r="E569" s="3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2"/>
      <c r="E570" s="3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2"/>
      <c r="E571" s="3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2"/>
      <c r="E572" s="3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2"/>
      <c r="E573" s="3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2"/>
      <c r="E574" s="3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2"/>
      <c r="E575" s="3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2"/>
      <c r="E576" s="3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2"/>
      <c r="E577" s="3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2"/>
      <c r="E578" s="3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2"/>
      <c r="E579" s="3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2"/>
      <c r="E580" s="3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2"/>
      <c r="E581" s="3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2"/>
      <c r="E582" s="3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2"/>
      <c r="E583" s="3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2"/>
      <c r="E584" s="3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2"/>
      <c r="E585" s="3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2"/>
      <c r="E586" s="3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2"/>
      <c r="E587" s="3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2"/>
      <c r="E588" s="3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2"/>
      <c r="E589" s="3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2"/>
      <c r="E590" s="3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2"/>
      <c r="E591" s="3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2"/>
      <c r="E592" s="3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2"/>
      <c r="E593" s="3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2"/>
      <c r="E594" s="3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2"/>
      <c r="E595" s="3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2"/>
      <c r="E596" s="3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2"/>
      <c r="E597" s="3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2"/>
      <c r="E598" s="3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2"/>
      <c r="E599" s="3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2"/>
      <c r="E600" s="3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2"/>
      <c r="E601" s="3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2"/>
      <c r="E602" s="3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2"/>
      <c r="E603" s="3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2"/>
      <c r="E604" s="3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2"/>
      <c r="E605" s="3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2"/>
      <c r="E606" s="3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2"/>
      <c r="E607" s="3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2"/>
      <c r="E608" s="3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2"/>
      <c r="E609" s="3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2"/>
      <c r="E610" s="3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2"/>
      <c r="E611" s="3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2"/>
      <c r="E612" s="3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2"/>
      <c r="E613" s="3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2"/>
      <c r="E614" s="3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2"/>
      <c r="E615" s="3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2"/>
      <c r="E616" s="3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2"/>
      <c r="E617" s="3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2"/>
      <c r="E618" s="3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2"/>
      <c r="E619" s="3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2"/>
      <c r="E620" s="3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2"/>
      <c r="E621" s="3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2"/>
      <c r="E622" s="3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2"/>
      <c r="E623" s="3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2"/>
      <c r="E624" s="3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2"/>
      <c r="E625" s="3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2"/>
      <c r="E626" s="3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2"/>
      <c r="E627" s="3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2"/>
      <c r="E628" s="3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2"/>
      <c r="E629" s="3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2"/>
      <c r="E630" s="3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2"/>
      <c r="E631" s="3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2"/>
      <c r="E632" s="3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2"/>
      <c r="E633" s="3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2"/>
      <c r="E634" s="3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2"/>
      <c r="E635" s="3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2"/>
      <c r="E636" s="3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2"/>
      <c r="E637" s="3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2"/>
      <c r="E638" s="3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2"/>
      <c r="E639" s="3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2"/>
      <c r="E640" s="3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2"/>
      <c r="E641" s="3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2"/>
      <c r="E642" s="3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2"/>
      <c r="E643" s="3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2"/>
      <c r="E644" s="3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2"/>
      <c r="E645" s="3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2"/>
      <c r="E646" s="3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2"/>
      <c r="E647" s="3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2"/>
      <c r="E648" s="3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2"/>
      <c r="E649" s="3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2"/>
      <c r="E650" s="3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2"/>
      <c r="E651" s="3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2"/>
      <c r="E652" s="3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2"/>
      <c r="E653" s="3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2"/>
      <c r="E654" s="3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2"/>
      <c r="E655" s="3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2"/>
      <c r="E656" s="3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2"/>
      <c r="E657" s="3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2"/>
      <c r="E658" s="3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2"/>
      <c r="E659" s="3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2"/>
      <c r="E660" s="3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2"/>
      <c r="E661" s="3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2"/>
      <c r="E662" s="3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2"/>
      <c r="E663" s="3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2"/>
      <c r="E664" s="3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2"/>
      <c r="E665" s="3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2"/>
      <c r="E666" s="3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2"/>
      <c r="E667" s="3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2"/>
      <c r="E668" s="3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2"/>
      <c r="E669" s="3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2"/>
      <c r="E670" s="3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2"/>
      <c r="E671" s="3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2"/>
      <c r="E672" s="3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2"/>
      <c r="E673" s="3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2"/>
      <c r="E674" s="3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2"/>
      <c r="E675" s="3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2"/>
      <c r="E676" s="3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2"/>
      <c r="E677" s="3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2"/>
      <c r="E678" s="3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2"/>
      <c r="E679" s="3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2"/>
      <c r="E680" s="3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2"/>
      <c r="E681" s="3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2"/>
      <c r="E682" s="3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2"/>
      <c r="E683" s="3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2"/>
      <c r="E684" s="3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2"/>
      <c r="E685" s="3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2"/>
      <c r="E686" s="3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2"/>
      <c r="E687" s="3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2"/>
      <c r="E688" s="3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2"/>
      <c r="E689" s="3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2"/>
      <c r="E690" s="3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2"/>
      <c r="E691" s="3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2"/>
      <c r="E692" s="3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2"/>
      <c r="E693" s="3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2"/>
      <c r="E694" s="3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2"/>
      <c r="E695" s="3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2"/>
      <c r="E696" s="3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2"/>
      <c r="E697" s="3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2"/>
      <c r="E698" s="3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2"/>
      <c r="E699" s="3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2"/>
      <c r="E700" s="3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2"/>
      <c r="E701" s="3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2"/>
      <c r="E702" s="3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2"/>
      <c r="E703" s="3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2"/>
      <c r="E704" s="3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2"/>
      <c r="E705" s="3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2"/>
      <c r="E706" s="3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2"/>
      <c r="E707" s="3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2"/>
      <c r="E708" s="3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2"/>
      <c r="E709" s="3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2"/>
      <c r="E710" s="3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2"/>
      <c r="E711" s="3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2"/>
      <c r="E712" s="3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2"/>
      <c r="E713" s="3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2"/>
      <c r="E714" s="3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2"/>
      <c r="E715" s="3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2"/>
      <c r="E716" s="3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2"/>
      <c r="E717" s="3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2"/>
      <c r="E718" s="3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2"/>
      <c r="E719" s="3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2"/>
      <c r="E720" s="3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2"/>
      <c r="E721" s="3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2"/>
      <c r="E722" s="3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2"/>
      <c r="E723" s="3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2"/>
      <c r="E724" s="3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2"/>
      <c r="E725" s="3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2"/>
      <c r="E726" s="3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2"/>
      <c r="E727" s="3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2"/>
      <c r="E728" s="3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2"/>
      <c r="E729" s="3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2"/>
      <c r="E730" s="3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2"/>
      <c r="E731" s="3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2"/>
      <c r="E732" s="3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2"/>
      <c r="E733" s="3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2"/>
      <c r="E734" s="3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2"/>
      <c r="E735" s="3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2"/>
      <c r="E736" s="3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2"/>
      <c r="E737" s="3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2"/>
      <c r="E738" s="3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2"/>
      <c r="E739" s="3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2"/>
      <c r="E740" s="3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2"/>
      <c r="E741" s="3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2"/>
      <c r="E742" s="3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2"/>
      <c r="E743" s="3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2"/>
      <c r="E744" s="3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2"/>
      <c r="E745" s="3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2"/>
      <c r="E746" s="3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2"/>
      <c r="E747" s="3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2"/>
      <c r="E748" s="3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2"/>
      <c r="E749" s="3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2"/>
      <c r="E750" s="3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2"/>
      <c r="E751" s="3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2"/>
      <c r="E752" s="3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2"/>
      <c r="E753" s="3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2"/>
      <c r="E754" s="3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2"/>
      <c r="E755" s="3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2"/>
      <c r="E756" s="3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2"/>
      <c r="E757" s="3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2"/>
      <c r="E758" s="3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2"/>
      <c r="E759" s="3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2"/>
      <c r="E760" s="3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2"/>
      <c r="E761" s="3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2"/>
      <c r="E762" s="3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2"/>
      <c r="E763" s="3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2"/>
      <c r="E764" s="3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2"/>
      <c r="E765" s="3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2"/>
      <c r="E766" s="3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2"/>
      <c r="E767" s="3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2"/>
      <c r="E768" s="3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2"/>
      <c r="E769" s="3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2"/>
      <c r="E770" s="3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2"/>
      <c r="E771" s="3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2"/>
      <c r="E772" s="3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2"/>
      <c r="E773" s="3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2"/>
      <c r="E774" s="3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2"/>
      <c r="E775" s="3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2"/>
      <c r="E776" s="3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2"/>
      <c r="E777" s="3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2"/>
      <c r="E778" s="3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2"/>
      <c r="E779" s="3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2"/>
      <c r="E780" s="3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2"/>
      <c r="E781" s="3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2"/>
      <c r="E782" s="3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2"/>
      <c r="E783" s="3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2"/>
      <c r="E784" s="3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2"/>
      <c r="E785" s="3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2"/>
      <c r="E786" s="3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2"/>
      <c r="E787" s="3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2"/>
      <c r="E788" s="3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2"/>
      <c r="E789" s="3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2"/>
      <c r="E790" s="3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2"/>
      <c r="E791" s="3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2"/>
      <c r="E792" s="3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2"/>
      <c r="E793" s="3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2"/>
      <c r="E794" s="3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2"/>
      <c r="E795" s="3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2"/>
      <c r="E796" s="3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2"/>
      <c r="E797" s="3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2"/>
      <c r="E798" s="3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2"/>
      <c r="E799" s="3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2"/>
      <c r="E800" s="3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2"/>
      <c r="E801" s="3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2"/>
      <c r="E802" s="3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2"/>
      <c r="E803" s="3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2"/>
      <c r="E804" s="3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2"/>
      <c r="E805" s="3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2"/>
      <c r="E806" s="3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2"/>
      <c r="E807" s="3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2"/>
      <c r="E808" s="3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2"/>
      <c r="E809" s="3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2"/>
      <c r="E810" s="3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2"/>
      <c r="E811" s="3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2"/>
      <c r="E812" s="3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2"/>
      <c r="E813" s="3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2"/>
      <c r="E814" s="3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2"/>
      <c r="E815" s="3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2"/>
      <c r="E816" s="3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2"/>
      <c r="E817" s="3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2"/>
      <c r="E818" s="3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2"/>
      <c r="E819" s="3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2"/>
      <c r="E820" s="3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2"/>
      <c r="E821" s="3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2"/>
      <c r="E822" s="3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2"/>
      <c r="E823" s="3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2"/>
      <c r="E824" s="3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2"/>
      <c r="E825" s="3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2"/>
      <c r="E826" s="3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2"/>
      <c r="E827" s="3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2"/>
      <c r="E828" s="3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2"/>
      <c r="E829" s="3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2"/>
      <c r="E830" s="3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2"/>
      <c r="E831" s="3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2"/>
      <c r="E832" s="3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2"/>
      <c r="E833" s="3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2"/>
      <c r="E834" s="3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2"/>
      <c r="E835" s="3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2"/>
      <c r="E836" s="3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2"/>
      <c r="E837" s="3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2"/>
      <c r="E838" s="3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2"/>
      <c r="E839" s="3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2"/>
      <c r="E840" s="3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2"/>
      <c r="E841" s="3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2"/>
      <c r="E842" s="3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2"/>
      <c r="E843" s="3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2"/>
      <c r="E844" s="3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2"/>
      <c r="E845" s="3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2"/>
      <c r="E846" s="3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2"/>
      <c r="E847" s="3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2"/>
      <c r="E848" s="3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2"/>
      <c r="E849" s="3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2"/>
      <c r="E850" s="3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2"/>
      <c r="E851" s="3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2"/>
      <c r="E852" s="3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2"/>
      <c r="E853" s="3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2"/>
      <c r="E854" s="3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2"/>
      <c r="E855" s="3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2"/>
      <c r="E856" s="3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2"/>
      <c r="E857" s="3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2"/>
      <c r="E858" s="3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2"/>
      <c r="E859" s="3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2"/>
      <c r="E860" s="3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2"/>
      <c r="E861" s="3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2"/>
      <c r="E862" s="3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2"/>
      <c r="E863" s="3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2"/>
      <c r="E864" s="3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2"/>
      <c r="E865" s="3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2"/>
      <c r="E866" s="3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2"/>
      <c r="E867" s="3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2"/>
      <c r="E868" s="3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2"/>
      <c r="E869" s="3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2"/>
      <c r="E870" s="3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2"/>
      <c r="E871" s="3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2"/>
      <c r="E872" s="3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2"/>
      <c r="E873" s="3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2"/>
      <c r="E874" s="3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2"/>
      <c r="E875" s="3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2"/>
      <c r="E876" s="3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2"/>
      <c r="E877" s="3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2"/>
      <c r="E878" s="3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2"/>
      <c r="E879" s="3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2"/>
      <c r="E880" s="3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2"/>
      <c r="E881" s="3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2"/>
      <c r="E882" s="3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2"/>
      <c r="E883" s="3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2"/>
      <c r="E884" s="3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2"/>
      <c r="E885" s="3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2"/>
      <c r="E886" s="3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2"/>
      <c r="E887" s="3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2"/>
      <c r="E888" s="3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2"/>
      <c r="E889" s="3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2"/>
      <c r="E890" s="3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2"/>
      <c r="E891" s="3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2"/>
      <c r="E892" s="3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2"/>
      <c r="E893" s="3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2"/>
      <c r="E894" s="3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2"/>
      <c r="E895" s="3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2"/>
      <c r="E896" s="3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2"/>
      <c r="E897" s="3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2"/>
      <c r="E898" s="3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2"/>
      <c r="E899" s="3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2"/>
      <c r="E900" s="3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2"/>
      <c r="E901" s="3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2"/>
      <c r="E902" s="3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2"/>
      <c r="E903" s="3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2"/>
      <c r="E904" s="3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2"/>
      <c r="E905" s="3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2"/>
      <c r="E906" s="3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2"/>
      <c r="E907" s="3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2"/>
      <c r="E908" s="3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2"/>
      <c r="E909" s="3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2"/>
      <c r="E910" s="3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2"/>
      <c r="E911" s="3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2"/>
      <c r="E912" s="3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2"/>
      <c r="E913" s="3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2"/>
      <c r="E914" s="3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2"/>
      <c r="E915" s="3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2"/>
      <c r="E916" s="3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2"/>
      <c r="E917" s="3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2"/>
      <c r="E918" s="3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2"/>
      <c r="E919" s="3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2"/>
      <c r="E920" s="3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2"/>
      <c r="E921" s="3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2"/>
      <c r="E922" s="3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2"/>
      <c r="E923" s="3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2"/>
      <c r="E924" s="3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2"/>
      <c r="E925" s="3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2"/>
      <c r="E926" s="3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2"/>
      <c r="E927" s="3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2"/>
      <c r="E928" s="3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2"/>
      <c r="E929" s="3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2"/>
      <c r="E930" s="3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2"/>
      <c r="E931" s="3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2"/>
      <c r="E932" s="3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2"/>
      <c r="E933" s="3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2"/>
      <c r="E934" s="3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2"/>
      <c r="E935" s="3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2"/>
      <c r="E936" s="3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2"/>
      <c r="E937" s="3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2"/>
      <c r="E938" s="3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2"/>
      <c r="E939" s="3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2"/>
      <c r="E940" s="3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2"/>
      <c r="E941" s="3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2"/>
      <c r="E942" s="3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2"/>
      <c r="E943" s="3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2"/>
      <c r="E944" s="3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2"/>
      <c r="E945" s="3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2"/>
      <c r="E946" s="3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2"/>
      <c r="E947" s="3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2"/>
      <c r="E948" s="3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2"/>
      <c r="E949" s="3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2"/>
      <c r="E950" s="3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2"/>
      <c r="E951" s="3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2"/>
      <c r="E952" s="3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2"/>
      <c r="E953" s="3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2"/>
      <c r="E954" s="3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2"/>
      <c r="E955" s="3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2"/>
      <c r="E956" s="3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2"/>
      <c r="E957" s="3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2"/>
      <c r="E958" s="3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2"/>
      <c r="E959" s="3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2"/>
      <c r="E960" s="3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2"/>
      <c r="E961" s="3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2"/>
      <c r="E962" s="3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2"/>
      <c r="E963" s="3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2"/>
      <c r="E964" s="3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2"/>
      <c r="E965" s="3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2"/>
      <c r="E966" s="3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2"/>
      <c r="E967" s="3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2"/>
      <c r="E968" s="3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2"/>
      <c r="E969" s="3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2"/>
      <c r="E970" s="3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2"/>
      <c r="E971" s="3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2"/>
      <c r="E972" s="3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2"/>
      <c r="E973" s="3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2"/>
      <c r="E974" s="3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2"/>
      <c r="E975" s="3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2"/>
      <c r="E976" s="3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2"/>
      <c r="E977" s="3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2"/>
      <c r="E978" s="3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2"/>
      <c r="E979" s="3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2"/>
      <c r="E980" s="3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2"/>
      <c r="E981" s="3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2"/>
      <c r="E982" s="3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2"/>
      <c r="E983" s="3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2"/>
      <c r="E984" s="3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2"/>
      <c r="E985" s="3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2"/>
      <c r="E986" s="3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2"/>
      <c r="E987" s="3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2"/>
      <c r="E988" s="3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2"/>
      <c r="E989" s="3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2"/>
      <c r="E990" s="3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2"/>
      <c r="E991" s="3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2"/>
      <c r="E992" s="3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2"/>
      <c r="E993" s="3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2"/>
      <c r="E994" s="3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2"/>
      <c r="E995" s="3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2"/>
      <c r="E996" s="3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2"/>
      <c r="E997" s="3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2"/>
      <c r="E998" s="3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2"/>
      <c r="E999" s="3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2"/>
      <c r="E1000" s="3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customHeight="1" x14ac:dyDescent="0.2">
      <c r="A1001" s="1"/>
      <c r="B1001" s="1"/>
      <c r="C1001" s="1"/>
      <c r="D1001" s="2"/>
      <c r="E1001" s="3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.75" customHeight="1" x14ac:dyDescent="0.2">
      <c r="A1002" s="1"/>
      <c r="B1002" s="1"/>
      <c r="C1002" s="1"/>
      <c r="D1002" s="2"/>
      <c r="E1002" s="3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5.75" customHeight="1" x14ac:dyDescent="0.2">
      <c r="A1003" s="1"/>
      <c r="B1003" s="1"/>
      <c r="C1003" s="1"/>
      <c r="D1003" s="2"/>
      <c r="E1003" s="3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5.75" customHeight="1" x14ac:dyDescent="0.2">
      <c r="A1004" s="1"/>
      <c r="B1004" s="1"/>
      <c r="C1004" s="1"/>
      <c r="D1004" s="2"/>
      <c r="E1004" s="3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5.75" customHeight="1" x14ac:dyDescent="0.2">
      <c r="A1005" s="1"/>
      <c r="B1005" s="1"/>
      <c r="C1005" s="1"/>
      <c r="D1005" s="2"/>
      <c r="E1005" s="3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5.75" customHeight="1" x14ac:dyDescent="0.2">
      <c r="A1006" s="1"/>
      <c r="B1006" s="1"/>
      <c r="C1006" s="1"/>
      <c r="D1006" s="2"/>
      <c r="E1006" s="3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15.75" customHeight="1" x14ac:dyDescent="0.2">
      <c r="A1007" s="1"/>
      <c r="B1007" s="1"/>
      <c r="C1007" s="1"/>
      <c r="D1007" s="2"/>
      <c r="E1007" s="3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</sheetData>
  <mergeCells count="10">
    <mergeCell ref="B57:F57"/>
    <mergeCell ref="B61:F61"/>
    <mergeCell ref="B66:D66"/>
    <mergeCell ref="B2:G2"/>
    <mergeCell ref="C13:F13"/>
    <mergeCell ref="C23:E23"/>
    <mergeCell ref="C26:E26"/>
    <mergeCell ref="B43:F43"/>
    <mergeCell ref="B44:F44"/>
    <mergeCell ref="B56:F56"/>
  </mergeCells>
  <dataValidations count="2">
    <dataValidation type="list" allowBlank="1" showErrorMessage="1" sqref="C10:C12" xr:uid="{00000000-0002-0000-0000-000000000000}">
      <formula1>"Simple,Intermedio,Complejo"</formula1>
    </dataValidation>
    <dataValidation type="decimal" allowBlank="1" showInputMessage="1" showErrorMessage="1" prompt="Entre 1 y 9 personas." sqref="B83" xr:uid="{00000000-0002-0000-0000-000001000000}">
      <formula1>1</formula1>
      <formula2>9</formula2>
    </dataValidation>
  </dataValidations>
  <hyperlinks>
    <hyperlink ref="H30" r:id="rId1" location="v=onepage&amp;q=e7%20part-time%20members&amp;f=false" xr:uid="{00000000-0004-0000-0000-000000000000}"/>
    <hyperlink ref="H48" r:id="rId2" location="v=onepage&amp;q=e7%20part-time%20members&amp;f=false" xr:uid="{00000000-0004-0000-0000-000001000000}"/>
  </hyperlinks>
  <pageMargins left="0.75" right="0.75" top="1" bottom="1" header="0" footer="0"/>
  <pageSetup orientation="portrait"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Plantilla</vt:lpstr>
      <vt:lpstr>Plantilla!solver_opt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</cp:lastModifiedBy>
  <dcterms:created xsi:type="dcterms:W3CDTF">2021-09-16T15:20:38Z</dcterms:created>
  <dcterms:modified xsi:type="dcterms:W3CDTF">2026-09-16T19:27:28Z</dcterms:modified>
</cp:coreProperties>
</file>